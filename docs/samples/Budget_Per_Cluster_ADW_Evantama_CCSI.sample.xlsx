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Rekap" state="visible" r:id="rId4"/>
    <sheet sheetId="2" name="ADW" state="visible" r:id="rId5"/>
    <sheet sheetId="3" name="Form ADW" state="visible" r:id="rId6"/>
    <sheet sheetId="4" name="EVANTAMA" state="visible" r:id="rId7"/>
    <sheet sheetId="5" name="Form EVANTAMA" state="visible" r:id="rId8"/>
    <sheet sheetId="6" name="CCSI" state="visible" r:id="rId9"/>
    <sheet sheetId="7" name="Form CCSI" state="visible" r:id="rId10"/>
    <sheet sheetId="8" name="_lists" state="hidden" r:id="rId11"/>
    <sheet sheetId="9" name="_terbilang" state="hidden" r:id="rId12"/>
  </sheets>
  <definedNames>
    <definedName name="_xlnm.Print_Area" localSheetId="2">'Form ADW'!$A1:$I64</definedName>
    <definedName name="_xlnm.Print_Area" localSheetId="4">'Form EVANTAMA'!$A1:$I64</definedName>
    <definedName name="_xlnm.Print_Area" localSheetId="6">'Form CCSI'!$A1:$I64</definedName>
  </definedNames>
  <calcPr calcId="171027"/>
</workbook>
</file>

<file path=xl/sharedStrings.xml><?xml version="1.0" encoding="utf-8"?>
<sst xmlns="http://schemas.openxmlformats.org/spreadsheetml/2006/main" count="1588" uniqueCount="1206">
  <si>
    <t>Rekap Budget per Cluster — ADW, Evantama, CCSI 2026</t>
  </si>
  <si>
    <t>ASUMSI (berlaku untuk semua sheet)</t>
  </si>
  <si>
    <t>Interest Bank (% × Dana Investor)</t>
  </si>
  <si>
    <t>Template: 10%. Sheet RAB lama memakai 6% × biaya subcon.</t>
  </si>
  <si>
    <t>Retensi dihitung sebagai biaya &amp; masuk Dana Investor?</t>
  </si>
  <si>
    <t>Ya</t>
  </si>
  <si>
    <t>Template: Ya. "Tidak" = retensi diperlakukan sbg piutang (tetap tampil sbg info).</t>
  </si>
  <si>
    <t>Project</t>
  </si>
  <si>
    <t>Cluster / Site</t>
  </si>
  <si>
    <t>Nilai Proyek</t>
  </si>
  <si>
    <t>Dana Investor</t>
  </si>
  <si>
    <t>Interest Bank</t>
  </si>
  <si>
    <t>Outflow</t>
  </si>
  <si>
    <t>Profit</t>
  </si>
  <si>
    <t>Margin</t>
  </si>
  <si>
    <t>ADW</t>
  </si>
  <si>
    <t>EVANTAMA</t>
  </si>
  <si>
    <t>CCSI</t>
  </si>
  <si>
    <t>Baris abu-abu = total per project. Angka merah = cluster rugi pada asumsi saat ini.</t>
  </si>
  <si>
    <t>Proyeksi Project ADW 2026</t>
  </si>
  <si>
    <t>TOTAL ADW</t>
  </si>
  <si>
    <t>Gempol Cirebon</t>
  </si>
  <si>
    <t>Kelurahan Mekarwangi Cianjur</t>
  </si>
  <si>
    <t>Batumpang Rw 5 &amp; 6 Purwakarta</t>
  </si>
  <si>
    <t>Sub Feeder Kel. Mekarwangi Cianjur</t>
  </si>
  <si>
    <t>Sub Feeder Batumpang Rw 5 &amp; 6 Purwakarta</t>
  </si>
  <si>
    <t>Distribusi - TEPAS RW 07 NGAWI</t>
  </si>
  <si>
    <t>Subfeeder - TEPAS RW 07 NGAWI</t>
  </si>
  <si>
    <t>Distribusi - TEPAS RW 06 NGAWI</t>
  </si>
  <si>
    <t>Distribusi - TEPAS RW 05 NGAWI -REV</t>
  </si>
  <si>
    <t>Subfeeder - TEPAS RW 05 NGAWI</t>
  </si>
  <si>
    <t>KELURAHAN SUKAPERNA MAJALENGKA</t>
  </si>
  <si>
    <t>SINDANG RW 07 MAJALENGKA</t>
  </si>
  <si>
    <t>SINDANG RW 02 MAJALENGKA</t>
  </si>
  <si>
    <t>SINDANG RW 01 MAJALENGKA</t>
  </si>
  <si>
    <t>PULLING DISTRIBUSI KELURAHAN GUNUNGTAWANG WONOSOBO</t>
  </si>
  <si>
    <t>PULLING SUBFEEDER KELURAHAN GUNUNGTAWANG WONOSOBO</t>
  </si>
  <si>
    <t>PULLING DISTRIBUSI DUSUN MANGUNSARI TEGALSARI BARAT PEMALANG</t>
  </si>
  <si>
    <t>PULLING SUBFEEDER DUSUN MANGUNSARI TEGALSARI BARAT PEMALANG</t>
  </si>
  <si>
    <t>WANASARI RW 01 SUBANG</t>
  </si>
  <si>
    <t>WANASARI RW 02 SUBANG</t>
  </si>
  <si>
    <t>WANASARI RW 03 SUBANG</t>
  </si>
  <si>
    <t>SF DESA WANASARI SUBANG</t>
  </si>
  <si>
    <t>SARIREJA RW 01 SUBANG</t>
  </si>
  <si>
    <t>Distribusi Kel Karangmulyo</t>
  </si>
  <si>
    <t>Subfeeder Kel Karangmulyo</t>
  </si>
  <si>
    <t>PULLING DISTRIBUSI KELURAHAN TEGALAREN PURWOREJ</t>
  </si>
  <si>
    <t>Distribusi Kel Tegalaren</t>
  </si>
  <si>
    <t>PULLING DISTRIBUSI KELURAHAN WINGKOHARJO PURWOREJO</t>
  </si>
  <si>
    <t>PULLING SUBFEEDER KELURAHAN WINGKOHARJO PURWOREJO</t>
  </si>
  <si>
    <t>SF SARIREJA RW 01 SUBANG</t>
  </si>
  <si>
    <t>Divisi IBK · PO: PO/2026/07774 · Implementasi: 25/05/2026</t>
  </si>
  <si>
    <t>Divisi IBK · SPK: 01 · PO: PO/2026/09495 · Implementasi: 20/07/2026</t>
  </si>
  <si>
    <t>Divisi IBK · SPK: 02 · PO: PO/2026/094999 · Implementasi: 22/07/2026</t>
  </si>
  <si>
    <t>Divisi IBK · SPK: 04 · Implementasi: 27/07/2026</t>
  </si>
  <si>
    <t>Divisi IBK · SPK: 03 · PO: PO/2026/07774 · Implementasi: 28/07/2026</t>
  </si>
  <si>
    <t>Divisi TELCO · SPK:01 · PO/2026/09244 · Implementasi : 07/08/2026</t>
  </si>
  <si>
    <t>Divisi TELCO · SPK : 02 · PO/2026/09243 · Implementasi : 07/08/2026</t>
  </si>
  <si>
    <t>Divisi TELCO · SPK : 03 · Implementasi : 07/08/2026</t>
  </si>
  <si>
    <t>Divisi TELCO · SPK : 04 · PO/2026/09245 · Implementasi : 07/08/2026</t>
  </si>
  <si>
    <t>Divisi TELCO · SPK : 05 · PO/2026/09247 · Implementasi : 07/08/2026</t>
  </si>
  <si>
    <t>Divisi TELCO · SPK : 10</t>
  </si>
  <si>
    <t>Divisi TELCO · SPK : 09 · PO : PO/2026/09478</t>
  </si>
  <si>
    <t>Divisi TELCO · SPK : 06 · PO/2026/09471</t>
  </si>
  <si>
    <t>Divisi TELCO · SPK : 05 · PO/2026/09475</t>
  </si>
  <si>
    <t>Divisi TELCO · SPK : 01</t>
  </si>
  <si>
    <t>Divisi TELCO · SPK : 02</t>
  </si>
  <si>
    <t>Divisi TELCO · SPK : 03</t>
  </si>
  <si>
    <t>Divisi TELCO · SPK : 04</t>
  </si>
  <si>
    <t>Divisi TELCO · SPK : 11 · PO/2026/09476 · Implementasi : 22/8/2026</t>
  </si>
  <si>
    <t>Divisi TELCO · SPK : 12 · PO/2026/09493 · Implementasi : 22/8/2026</t>
  </si>
  <si>
    <t>Divisi TELCO · SPK : 13 · PO/2026/09487 · Implementasi : 22/8/2026</t>
  </si>
  <si>
    <t>Divisi TELCO · SPK : 14 · PO/2026/09483 · Implementasi : 22/08/2026</t>
  </si>
  <si>
    <t>Divisi TELCO · SPK : 15 · PO/2026/09479 · Implementasi : 22/08/2026</t>
  </si>
  <si>
    <t>Divisi TELCO · SPK 07 · Implementasi : 16/09/2026</t>
  </si>
  <si>
    <t>Divisi TELCO · SPK 08 · Implementasi : 16/09/2026</t>
  </si>
  <si>
    <t>Divisi TELCO · SPK 05 · Implementasi : 16/09/2026</t>
  </si>
  <si>
    <t>Divisi TELCO · SPK 06 · Implementasi : 16/09/2026</t>
  </si>
  <si>
    <t>Divisi TELCO · SPK : 09 · Implementasi : 28/09/2026</t>
  </si>
  <si>
    <t>Divisi TELCO · SPK : 10 · Implementasi : 28/09/2026</t>
  </si>
  <si>
    <t>Divisi TELCO · SPK : 16 · PO/2026/09476</t>
  </si>
  <si>
    <t>%</t>
  </si>
  <si>
    <t>Rp</t>
  </si>
  <si>
    <t>Nilai PO Implementasi</t>
  </si>
  <si>
    <t>Nilai PO Permit</t>
  </si>
  <si>
    <t>DUIT INVESTOR</t>
  </si>
  <si>
    <t>Biaya Subcon</t>
  </si>
  <si>
    <t>Biaya Permit</t>
  </si>
  <si>
    <t>Ticket Internal</t>
  </si>
  <si>
    <t>Pajak</t>
  </si>
  <si>
    <t>Retensi</t>
  </si>
  <si>
    <t>COST PROJECT</t>
  </si>
  <si>
    <t>Indirect Cost</t>
  </si>
  <si>
    <t>Direct Cost</t>
  </si>
  <si>
    <t>Operational Kantor</t>
  </si>
  <si>
    <t>Motor dan Mobil</t>
  </si>
  <si>
    <t>Homebase</t>
  </si>
  <si>
    <t>Allowance Kunjungan include ops permit</t>
  </si>
  <si>
    <t>Marketing cost</t>
  </si>
  <si>
    <t>Catatan:</t>
  </si>
  <si>
    <t>• Sel biru/kuning = input. Nilai PO &amp; % biaya diambil dari sheet project di file RAB Project TELCO.</t>
  </si>
  <si>
    <t>• Interest Bank = (% di Rekap!C4) × Dana Investor. Retensi masuk biaya/Dana Investor atau tidak diatur di Rekap!C5.</t>
  </si>
  <si>
    <t>• Pajak dihitung dari Nilai Proyek; Retensi &amp; Cost Project dihitung dari Nilai PO Implementasi.</t>
  </si>
  <si>
    <t>• Kolom TOTAL menjumlah semua cluster otomatis.</t>
  </si>
  <si>
    <t>FORM PENGAJUAN DANA</t>
  </si>
  <si>
    <t>PT Indotek Buana Karya — Modal Kerja Proyek ADW 2026</t>
  </si>
  <si>
    <t>Sel kuning = diisi pemohon. Pilih cluster di "Nama Proyek"; angka budget otomatis ditarik dari sheet ADW.</t>
  </si>
  <si>
    <t>No. Pengajuan</t>
  </si>
  <si>
    <t>FPD/ADW/2026/10/001</t>
  </si>
  <si>
    <t>Diajukan Oleh</t>
  </si>
  <si>
    <t xml:space="preserve">Pemohon Demo </t>
  </si>
  <si>
    <t>Tanggal Pengajuan</t>
  </si>
  <si>
    <t>Jabatan / Divisi</t>
  </si>
  <si>
    <t>helper (kolom ini boleh disembunyikan)</t>
  </si>
  <si>
    <t>Nama Proyek</t>
  </si>
  <si>
    <t>Diajukan Kepada</t>
  </si>
  <si>
    <t>Investor</t>
  </si>
  <si>
    <t>Pemberi Kerja</t>
  </si>
  <si>
    <t>PT ADW</t>
  </si>
  <si>
    <t>Termin Pencairan Ke-</t>
  </si>
  <si>
    <t>Nilai Proyek (Rp)</t>
  </si>
  <si>
    <t>Periode Penggunaan</t>
  </si>
  <si>
    <t xml:space="preserve">Oktober </t>
  </si>
  <si>
    <t>RINCIAN KEBUTUHAN DANA</t>
  </si>
  <si>
    <t>No</t>
  </si>
  <si>
    <t>Pos Anggaran</t>
  </si>
  <si>
    <t>% Nilai Proyek</t>
  </si>
  <si>
    <t>Budget (Rp)</t>
  </si>
  <si>
    <t>% Dicairkan</t>
  </si>
  <si>
    <t>Diajukan Saat Ini (Rp)</t>
  </si>
  <si>
    <t>Sudah Dicairkan Sblm (Rp)</t>
  </si>
  <si>
    <t>Sisa Budget (Rp)</t>
  </si>
  <si>
    <t>Keterangan / Peruntukan</t>
  </si>
  <si>
    <t>A</t>
  </si>
  <si>
    <t>SUBCON, PERMIT &amp; PAJAK</t>
  </si>
  <si>
    <t>Pembayaran subcon</t>
  </si>
  <si>
    <t>Permit (pass-through)</t>
  </si>
  <si>
    <t>Tiket perjalanan</t>
  </si>
  <si>
    <t>Pajak atas nilai proyek</t>
  </si>
  <si>
    <t>Subtotal A</t>
  </si>
  <si>
    <t>B</t>
  </si>
  <si>
    <t>Gaji/upah teknisi lapangan</t>
  </si>
  <si>
    <t>Sewa/BBM kendaraan</t>
  </si>
  <si>
    <t>Termasuk ops permit</t>
  </si>
  <si>
    <t>Subtotal B</t>
  </si>
  <si>
    <t>TOTAL PENGAJUAN</t>
  </si>
  <si>
    <t>INFORMASI PENDUKUNG (tidak termasuk pengajuan)</t>
  </si>
  <si>
    <t>Cadangan budget / retensi</t>
  </si>
  <si>
    <t>Proyeksi profit cluster</t>
  </si>
  <si>
    <t>Margin profit</t>
  </si>
  <si>
    <t>Terbilang</t>
  </si>
  <si>
    <t>Tujuan / Justifikasi Penggunaan Dana</t>
  </si>
  <si>
    <t>REKENING TUJUAN PENCAIRAN</t>
  </si>
  <si>
    <t>Nama Bank</t>
  </si>
  <si>
    <t>BCA</t>
  </si>
  <si>
    <t>No. Rekening</t>
  </si>
  <si>
    <t>1234567890</t>
  </si>
  <si>
    <t>Atas Nama</t>
  </si>
  <si>
    <t>Pemohon Demo</t>
  </si>
  <si>
    <t>LAMPIRAN (beri tanda ✓)</t>
  </si>
  <si>
    <t>✓</t>
  </si>
  <si>
    <t>Proyeksi budget proyek (sheet ADW)</t>
  </si>
  <si>
    <t>Rencana kerja &amp; jadwal pelaksanaan cluster</t>
  </si>
  <si>
    <t>Rincian material (BOQ) &amp; penawaran vendor</t>
  </si>
  <si>
    <t>Laporan realisasi termin sebelumnya</t>
  </si>
  <si>
    <t>☐</t>
  </si>
  <si>
    <t>Lainnya: ...................</t>
  </si>
  <si>
    <t>PERSETUJUAN</t>
  </si>
  <si>
    <t>Diajukan oleh</t>
  </si>
  <si>
    <t>Diperiksa oleh (Finance)</t>
  </si>
  <si>
    <t>Disetujui oleh (Direktur)</t>
  </si>
  <si>
    <t>Mengetahui (Investor)</t>
  </si>
  <si>
    <t xml:space="preserve">Nama: Pemohon Demo </t>
  </si>
  <si>
    <t xml:space="preserve">Nama: </t>
  </si>
  <si>
    <t>Tgl: 13 Oktober 2026</t>
  </si>
  <si>
    <t xml:space="preserve">Tgl: </t>
  </si>
  <si>
    <t>• Pilih cluster di sel "Nama Proyek" (dropdown). Budget, % dan nama pos ditarik dari sheet ADW — ubah asumsi di sana.</t>
  </si>
  <si>
    <t>• % Dicairkan default 100% (pengajuan penuh). Untuk pencairan bertahap, ubah per pos (mis. 50%) dan isi kolom 'Sudah Dicairkan Sblm'.</t>
  </si>
  <si>
    <t>• Bunga dana investor &amp; retensi tidak termasuk dana yang diajukan. Asumsi bunga &amp; perlakuan retensi diatur di sheet Rekap.</t>
  </si>
  <si>
    <t>• Terbilang &amp; teks justifikasi otomatis mengikuti total dan cluster yang dipilih.</t>
  </si>
  <si>
    <t>Proyeksi Project EVANTAMA 2026</t>
  </si>
  <si>
    <t>TOTAL EVANTAMA</t>
  </si>
  <si>
    <t>Cluster Sinagar Tasik</t>
  </si>
  <si>
    <t>Cluster Kersanagara RW 08 Tasik</t>
  </si>
  <si>
    <t>Cluster Kersanagara RW 04 Tasik</t>
  </si>
  <si>
    <t>Permit PO 665/PERMIT/ENS/0726 · PO Cluster: 754/FTTH/ENS/0826 PO Subfeeder: 978/FTTH/ENS/0926</t>
  </si>
  <si>
    <t>Permit PO 668/PERMIT/ENS/0726 · PO Cluster: 976/FTTH/ENS/0926 PO Subfeeder: 977/FTTH/ENS/0926</t>
  </si>
  <si>
    <t>Permit PO 969/FTTH/ENS/0926 · PO Cluster: 979/FTTH/ENS/0926 PO Subfeeder: 980/FTTH/ENS/0926</t>
  </si>
  <si>
    <t>PT Indotek Buana Karya — Modal Kerja Proyek EVANTAMA 2026</t>
  </si>
  <si>
    <t>Sel kuning = diisi pemohon. Pilih cluster di "Nama Proyek"; angka budget otomatis ditarik dari sheet EVANTAMA.</t>
  </si>
  <si>
    <t>FPD/EVANTAMA/2026/10/001</t>
  </si>
  <si>
    <t>PT Evantama Network System</t>
  </si>
  <si>
    <t>Proyeksi budget proyek (sheet EVANTAMA)</t>
  </si>
  <si>
    <t>• Pilih cluster di sel "Nama Proyek" (dropdown). Budget, % dan nama pos ditarik dari sheet EVANTAMA — ubah asumsi di sana.</t>
  </si>
  <si>
    <t>Proyeksi Project CCSI 2026</t>
  </si>
  <si>
    <t>TOTAL CCSI</t>
  </si>
  <si>
    <t>Kalawiran Kakas Barat (Manado)</t>
  </si>
  <si>
    <t>Karondoran Langowan Timur (Manado)</t>
  </si>
  <si>
    <t>Padangsari RW 12 &amp; 13 (Semarang)</t>
  </si>
  <si>
    <t>Site Manado · PO SND FTTHSWI-5-280926 · PO Implementasi FTTHSWI-6-280926 · biaya tetap site dialokasikan pro-rata nilai PO</t>
  </si>
  <si>
    <t>Site Manado · biaya tetap site dialokasikan pro-rata nilai PO</t>
  </si>
  <si>
    <t>Site Semarang · nilai PO belum dipisah per RW</t>
  </si>
  <si>
    <t>PT Indotek Buana Karya — Modal Kerja Proyek CCSI 2026</t>
  </si>
  <si>
    <t>Sel kuning = diisi pemohon. Pilih cluster di "Nama Proyek"; angka budget otomatis ditarik dari sheet CCSI.</t>
  </si>
  <si>
    <t>FPD/CCSI/2026/10/001</t>
  </si>
  <si>
    <t>Proyeksi budget proyek (sheet CCSI)</t>
  </si>
  <si>
    <t>• Pilih cluster di sel "Nama Proyek" (dropdown). Budget, % dan nama pos ditarik dari sheet CCSI — ubah asumsi di sana.</t>
  </si>
  <si>
    <t>satu</t>
  </si>
  <si>
    <t>dua</t>
  </si>
  <si>
    <t>tiga</t>
  </si>
  <si>
    <t>empat</t>
  </si>
  <si>
    <t>lima</t>
  </si>
  <si>
    <t>enam</t>
  </si>
  <si>
    <t>tujuh</t>
  </si>
  <si>
    <t>delapan</t>
  </si>
  <si>
    <t>sembilan</t>
  </si>
  <si>
    <t>sepuluh</t>
  </si>
  <si>
    <t>sebelas</t>
  </si>
  <si>
    <t>dua belas</t>
  </si>
  <si>
    <t>tiga belas</t>
  </si>
  <si>
    <t>empat belas</t>
  </si>
  <si>
    <t>lima belas</t>
  </si>
  <si>
    <t>enam belas</t>
  </si>
  <si>
    <t>tujuh belas</t>
  </si>
  <si>
    <t>delapan belas</t>
  </si>
  <si>
    <t>sembilan belas</t>
  </si>
  <si>
    <t>dua puluh</t>
  </si>
  <si>
    <t>dua puluh satu</t>
  </si>
  <si>
    <t>dua puluh dua</t>
  </si>
  <si>
    <t>dua puluh tiga</t>
  </si>
  <si>
    <t>dua puluh empat</t>
  </si>
  <si>
    <t>dua puluh lima</t>
  </si>
  <si>
    <t>dua puluh enam</t>
  </si>
  <si>
    <t>dua puluh tujuh</t>
  </si>
  <si>
    <t>dua puluh delapan</t>
  </si>
  <si>
    <t>dua puluh sembilan</t>
  </si>
  <si>
    <t>tiga puluh</t>
  </si>
  <si>
    <t>tiga puluh satu</t>
  </si>
  <si>
    <t>tiga puluh dua</t>
  </si>
  <si>
    <t>tiga puluh tiga</t>
  </si>
  <si>
    <t>tiga puluh empat</t>
  </si>
  <si>
    <t>tiga puluh lima</t>
  </si>
  <si>
    <t>tiga puluh enam</t>
  </si>
  <si>
    <t>tiga puluh tujuh</t>
  </si>
  <si>
    <t>tiga puluh delapan</t>
  </si>
  <si>
    <t>tiga puluh sembilan</t>
  </si>
  <si>
    <t>empat puluh</t>
  </si>
  <si>
    <t>empat puluh satu</t>
  </si>
  <si>
    <t>empat puluh dua</t>
  </si>
  <si>
    <t>empat puluh tiga</t>
  </si>
  <si>
    <t>empat puluh empat</t>
  </si>
  <si>
    <t>empat puluh lima</t>
  </si>
  <si>
    <t>empat puluh enam</t>
  </si>
  <si>
    <t>empat puluh tujuh</t>
  </si>
  <si>
    <t>empat puluh delapan</t>
  </si>
  <si>
    <t>empat puluh sembilan</t>
  </si>
  <si>
    <t>lima puluh</t>
  </si>
  <si>
    <t>lima puluh satu</t>
  </si>
  <si>
    <t>lima puluh dua</t>
  </si>
  <si>
    <t>lima puluh tiga</t>
  </si>
  <si>
    <t>lima puluh empat</t>
  </si>
  <si>
    <t>lima puluh lima</t>
  </si>
  <si>
    <t>lima puluh enam</t>
  </si>
  <si>
    <t>lima puluh tujuh</t>
  </si>
  <si>
    <t>lima puluh delapan</t>
  </si>
  <si>
    <t>lima puluh sembilan</t>
  </si>
  <si>
    <t>enam puluh</t>
  </si>
  <si>
    <t>enam puluh satu</t>
  </si>
  <si>
    <t>enam puluh dua</t>
  </si>
  <si>
    <t>enam puluh tiga</t>
  </si>
  <si>
    <t>enam puluh empat</t>
  </si>
  <si>
    <t>enam puluh lima</t>
  </si>
  <si>
    <t>enam puluh enam</t>
  </si>
  <si>
    <t>enam puluh tujuh</t>
  </si>
  <si>
    <t>enam puluh delapan</t>
  </si>
  <si>
    <t>enam puluh sembilan</t>
  </si>
  <si>
    <t>tujuh puluh</t>
  </si>
  <si>
    <t>tujuh puluh satu</t>
  </si>
  <si>
    <t>tujuh puluh dua</t>
  </si>
  <si>
    <t>tujuh puluh tiga</t>
  </si>
  <si>
    <t>tujuh puluh empat</t>
  </si>
  <si>
    <t>tujuh puluh lima</t>
  </si>
  <si>
    <t>tujuh puluh enam</t>
  </si>
  <si>
    <t>tujuh puluh tujuh</t>
  </si>
  <si>
    <t>tujuh puluh delapan</t>
  </si>
  <si>
    <t>tujuh puluh sembilan</t>
  </si>
  <si>
    <t>delapan puluh</t>
  </si>
  <si>
    <t>delapan puluh satu</t>
  </si>
  <si>
    <t>delapan puluh dua</t>
  </si>
  <si>
    <t>delapan puluh tiga</t>
  </si>
  <si>
    <t>delapan puluh empat</t>
  </si>
  <si>
    <t>delapan puluh lima</t>
  </si>
  <si>
    <t>delapan puluh enam</t>
  </si>
  <si>
    <t>delapan puluh tujuh</t>
  </si>
  <si>
    <t>delapan puluh delapan</t>
  </si>
  <si>
    <t>delapan puluh sembilan</t>
  </si>
  <si>
    <t>sembilan puluh</t>
  </si>
  <si>
    <t>sembilan puluh satu</t>
  </si>
  <si>
    <t>sembilan puluh dua</t>
  </si>
  <si>
    <t>sembilan puluh tiga</t>
  </si>
  <si>
    <t>sembilan puluh empat</t>
  </si>
  <si>
    <t>sembilan puluh lima</t>
  </si>
  <si>
    <t>sembilan puluh enam</t>
  </si>
  <si>
    <t>sembilan puluh tujuh</t>
  </si>
  <si>
    <t>sembilan puluh delapan</t>
  </si>
  <si>
    <t>sembilan puluh sembilan</t>
  </si>
  <si>
    <t>seratus</t>
  </si>
  <si>
    <t>seratus satu</t>
  </si>
  <si>
    <t>seratus dua</t>
  </si>
  <si>
    <t>seratus tiga</t>
  </si>
  <si>
    <t>seratus empat</t>
  </si>
  <si>
    <t>seratus lima</t>
  </si>
  <si>
    <t>seratus enam</t>
  </si>
  <si>
    <t>seratus tujuh</t>
  </si>
  <si>
    <t>seratus delapan</t>
  </si>
  <si>
    <t>seratus sembilan</t>
  </si>
  <si>
    <t>seratus sepuluh</t>
  </si>
  <si>
    <t>seratus sebelas</t>
  </si>
  <si>
    <t>seratus dua belas</t>
  </si>
  <si>
    <t>seratus tiga belas</t>
  </si>
  <si>
    <t>seratus empat belas</t>
  </si>
  <si>
    <t>seratus lima belas</t>
  </si>
  <si>
    <t>seratus enam belas</t>
  </si>
  <si>
    <t>seratus tujuh belas</t>
  </si>
  <si>
    <t>seratus delapan belas</t>
  </si>
  <si>
    <t>seratus sembilan belas</t>
  </si>
  <si>
    <t>seratus dua puluh</t>
  </si>
  <si>
    <t>seratus dua puluh satu</t>
  </si>
  <si>
    <t>seratus dua puluh dua</t>
  </si>
  <si>
    <t>seratus dua puluh tiga</t>
  </si>
  <si>
    <t>seratus dua puluh empat</t>
  </si>
  <si>
    <t>seratus dua puluh lima</t>
  </si>
  <si>
    <t>seratus dua puluh enam</t>
  </si>
  <si>
    <t>seratus dua puluh tujuh</t>
  </si>
  <si>
    <t>seratus dua puluh delapan</t>
  </si>
  <si>
    <t>seratus dua puluh sembilan</t>
  </si>
  <si>
    <t>seratus tiga puluh</t>
  </si>
  <si>
    <t>seratus tiga puluh satu</t>
  </si>
  <si>
    <t>seratus tiga puluh dua</t>
  </si>
  <si>
    <t>seratus tiga puluh tiga</t>
  </si>
  <si>
    <t>seratus tiga puluh empat</t>
  </si>
  <si>
    <t>seratus tiga puluh lima</t>
  </si>
  <si>
    <t>seratus tiga puluh enam</t>
  </si>
  <si>
    <t>seratus tiga puluh tujuh</t>
  </si>
  <si>
    <t>seratus tiga puluh delapan</t>
  </si>
  <si>
    <t>seratus tiga puluh sembilan</t>
  </si>
  <si>
    <t>seratus empat puluh</t>
  </si>
  <si>
    <t>seratus empat puluh satu</t>
  </si>
  <si>
    <t>seratus empat puluh dua</t>
  </si>
  <si>
    <t>seratus empat puluh tiga</t>
  </si>
  <si>
    <t>seratus empat puluh empat</t>
  </si>
  <si>
    <t>seratus empat puluh lima</t>
  </si>
  <si>
    <t>seratus empat puluh enam</t>
  </si>
  <si>
    <t>seratus empat puluh tujuh</t>
  </si>
  <si>
    <t>seratus empat puluh delapan</t>
  </si>
  <si>
    <t>seratus empat puluh sembilan</t>
  </si>
  <si>
    <t>seratus lima puluh</t>
  </si>
  <si>
    <t>seratus lima puluh satu</t>
  </si>
  <si>
    <t>seratus lima puluh dua</t>
  </si>
  <si>
    <t>seratus lima puluh tiga</t>
  </si>
  <si>
    <t>seratus lima puluh empat</t>
  </si>
  <si>
    <t>seratus lima puluh lima</t>
  </si>
  <si>
    <t>seratus lima puluh enam</t>
  </si>
  <si>
    <t>seratus lima puluh tujuh</t>
  </si>
  <si>
    <t>seratus lima puluh delapan</t>
  </si>
  <si>
    <t>seratus lima puluh sembilan</t>
  </si>
  <si>
    <t>seratus enam puluh</t>
  </si>
  <si>
    <t>seratus enam puluh satu</t>
  </si>
  <si>
    <t>seratus enam puluh dua</t>
  </si>
  <si>
    <t>seratus enam puluh tiga</t>
  </si>
  <si>
    <t>seratus enam puluh empat</t>
  </si>
  <si>
    <t>seratus enam puluh lima</t>
  </si>
  <si>
    <t>seratus enam puluh enam</t>
  </si>
  <si>
    <t>seratus enam puluh tujuh</t>
  </si>
  <si>
    <t>seratus enam puluh delapan</t>
  </si>
  <si>
    <t>seratus enam puluh sembilan</t>
  </si>
  <si>
    <t>seratus tujuh puluh</t>
  </si>
  <si>
    <t>seratus tujuh puluh satu</t>
  </si>
  <si>
    <t>seratus tujuh puluh dua</t>
  </si>
  <si>
    <t>seratus tujuh puluh tiga</t>
  </si>
  <si>
    <t>seratus tujuh puluh empat</t>
  </si>
  <si>
    <t>seratus tujuh puluh lima</t>
  </si>
  <si>
    <t>seratus tujuh puluh enam</t>
  </si>
  <si>
    <t>seratus tujuh puluh tujuh</t>
  </si>
  <si>
    <t>seratus tujuh puluh delapan</t>
  </si>
  <si>
    <t>seratus tujuh puluh sembilan</t>
  </si>
  <si>
    <t>seratus delapan puluh</t>
  </si>
  <si>
    <t>seratus delapan puluh satu</t>
  </si>
  <si>
    <t>seratus delapan puluh dua</t>
  </si>
  <si>
    <t>seratus delapan puluh tiga</t>
  </si>
  <si>
    <t>seratus delapan puluh empat</t>
  </si>
  <si>
    <t>seratus delapan puluh lima</t>
  </si>
  <si>
    <t>seratus delapan puluh enam</t>
  </si>
  <si>
    <t>seratus delapan puluh tujuh</t>
  </si>
  <si>
    <t>seratus delapan puluh delapan</t>
  </si>
  <si>
    <t>seratus delapan puluh sembilan</t>
  </si>
  <si>
    <t>seratus sembilan puluh</t>
  </si>
  <si>
    <t>seratus sembilan puluh satu</t>
  </si>
  <si>
    <t>seratus sembilan puluh dua</t>
  </si>
  <si>
    <t>seratus sembilan puluh tiga</t>
  </si>
  <si>
    <t>seratus sembilan puluh empat</t>
  </si>
  <si>
    <t>seratus sembilan puluh lima</t>
  </si>
  <si>
    <t>seratus sembilan puluh enam</t>
  </si>
  <si>
    <t>seratus sembilan puluh tujuh</t>
  </si>
  <si>
    <t>seratus sembilan puluh delapan</t>
  </si>
  <si>
    <t>seratus sembilan puluh sembilan</t>
  </si>
  <si>
    <t>dua ratus</t>
  </si>
  <si>
    <t>dua ratus satu</t>
  </si>
  <si>
    <t>dua ratus dua</t>
  </si>
  <si>
    <t>dua ratus tiga</t>
  </si>
  <si>
    <t>dua ratus empat</t>
  </si>
  <si>
    <t>dua ratus lima</t>
  </si>
  <si>
    <t>dua ratus enam</t>
  </si>
  <si>
    <t>dua ratus tujuh</t>
  </si>
  <si>
    <t>dua ratus delapan</t>
  </si>
  <si>
    <t>dua ratus sembilan</t>
  </si>
  <si>
    <t>dua ratus sepuluh</t>
  </si>
  <si>
    <t>dua ratus sebelas</t>
  </si>
  <si>
    <t>dua ratus dua belas</t>
  </si>
  <si>
    <t>dua ratus tiga belas</t>
  </si>
  <si>
    <t>dua ratus empat belas</t>
  </si>
  <si>
    <t>dua ratus lima belas</t>
  </si>
  <si>
    <t>dua ratus enam belas</t>
  </si>
  <si>
    <t>dua ratus tujuh belas</t>
  </si>
  <si>
    <t>dua ratus delapan belas</t>
  </si>
  <si>
    <t>dua ratus sembilan belas</t>
  </si>
  <si>
    <t>dua ratus dua puluh</t>
  </si>
  <si>
    <t>dua ratus dua puluh satu</t>
  </si>
  <si>
    <t>dua ratus dua puluh dua</t>
  </si>
  <si>
    <t>dua ratus dua puluh tiga</t>
  </si>
  <si>
    <t>dua ratus dua puluh empat</t>
  </si>
  <si>
    <t>dua ratus dua puluh lima</t>
  </si>
  <si>
    <t>dua ratus dua puluh enam</t>
  </si>
  <si>
    <t>dua ratus dua puluh tujuh</t>
  </si>
  <si>
    <t>dua ratus dua puluh delapan</t>
  </si>
  <si>
    <t>dua ratus dua puluh sembilan</t>
  </si>
  <si>
    <t>dua ratus tiga puluh</t>
  </si>
  <si>
    <t>dua ratus tiga puluh satu</t>
  </si>
  <si>
    <t>dua ratus tiga puluh dua</t>
  </si>
  <si>
    <t>dua ratus tiga puluh tiga</t>
  </si>
  <si>
    <t>dua ratus tiga puluh empat</t>
  </si>
  <si>
    <t>dua ratus tiga puluh lima</t>
  </si>
  <si>
    <t>dua ratus tiga puluh enam</t>
  </si>
  <si>
    <t>dua ratus tiga puluh tujuh</t>
  </si>
  <si>
    <t>dua ratus tiga puluh delapan</t>
  </si>
  <si>
    <t>dua ratus tiga puluh sembilan</t>
  </si>
  <si>
    <t>dua ratus empat puluh</t>
  </si>
  <si>
    <t>dua ratus empat puluh satu</t>
  </si>
  <si>
    <t>dua ratus empat puluh dua</t>
  </si>
  <si>
    <t>dua ratus empat puluh tiga</t>
  </si>
  <si>
    <t>dua ratus empat puluh empat</t>
  </si>
  <si>
    <t>dua ratus empat puluh lima</t>
  </si>
  <si>
    <t>dua ratus empat puluh enam</t>
  </si>
  <si>
    <t>dua ratus empat puluh tujuh</t>
  </si>
  <si>
    <t>dua ratus empat puluh delapan</t>
  </si>
  <si>
    <t>dua ratus empat puluh sembilan</t>
  </si>
  <si>
    <t>dua ratus lima puluh</t>
  </si>
  <si>
    <t>dua ratus lima puluh satu</t>
  </si>
  <si>
    <t>dua ratus lima puluh dua</t>
  </si>
  <si>
    <t>dua ratus lima puluh tiga</t>
  </si>
  <si>
    <t>dua ratus lima puluh empat</t>
  </si>
  <si>
    <t>dua ratus lima puluh lima</t>
  </si>
  <si>
    <t>dua ratus lima puluh enam</t>
  </si>
  <si>
    <t>dua ratus lima puluh tujuh</t>
  </si>
  <si>
    <t>dua ratus lima puluh delapan</t>
  </si>
  <si>
    <t>dua ratus lima puluh sembilan</t>
  </si>
  <si>
    <t>dua ratus enam puluh</t>
  </si>
  <si>
    <t>dua ratus enam puluh satu</t>
  </si>
  <si>
    <t>dua ratus enam puluh dua</t>
  </si>
  <si>
    <t>dua ratus enam puluh tiga</t>
  </si>
  <si>
    <t>dua ratus enam puluh empat</t>
  </si>
  <si>
    <t>dua ratus enam puluh lima</t>
  </si>
  <si>
    <t>dua ratus enam puluh enam</t>
  </si>
  <si>
    <t>dua ratus enam puluh tujuh</t>
  </si>
  <si>
    <t>dua ratus enam puluh delapan</t>
  </si>
  <si>
    <t>dua ratus enam puluh sembilan</t>
  </si>
  <si>
    <t>dua ratus tujuh puluh</t>
  </si>
  <si>
    <t>dua ratus tujuh puluh satu</t>
  </si>
  <si>
    <t>dua ratus tujuh puluh dua</t>
  </si>
  <si>
    <t>dua ratus tujuh puluh tiga</t>
  </si>
  <si>
    <t>dua ratus tujuh puluh empat</t>
  </si>
  <si>
    <t>dua ratus tujuh puluh lima</t>
  </si>
  <si>
    <t>dua ratus tujuh puluh enam</t>
  </si>
  <si>
    <t>dua ratus tujuh puluh tujuh</t>
  </si>
  <si>
    <t>dua ratus tujuh puluh delapan</t>
  </si>
  <si>
    <t>dua ratus tujuh puluh sembilan</t>
  </si>
  <si>
    <t>dua ratus delapan puluh</t>
  </si>
  <si>
    <t>dua ratus delapan puluh satu</t>
  </si>
  <si>
    <t>dua ratus delapan puluh dua</t>
  </si>
  <si>
    <t>dua ratus delapan puluh tiga</t>
  </si>
  <si>
    <t>dua ratus delapan puluh empat</t>
  </si>
  <si>
    <t>dua ratus delapan puluh lima</t>
  </si>
  <si>
    <t>dua ratus delapan puluh enam</t>
  </si>
  <si>
    <t>dua ratus delapan puluh tujuh</t>
  </si>
  <si>
    <t>dua ratus delapan puluh delapan</t>
  </si>
  <si>
    <t>dua ratus delapan puluh sembilan</t>
  </si>
  <si>
    <t>dua ratus sembilan puluh</t>
  </si>
  <si>
    <t>dua ratus sembilan puluh satu</t>
  </si>
  <si>
    <t>dua ratus sembilan puluh dua</t>
  </si>
  <si>
    <t>dua ratus sembilan puluh tiga</t>
  </si>
  <si>
    <t>dua ratus sembilan puluh empat</t>
  </si>
  <si>
    <t>dua ratus sembilan puluh lima</t>
  </si>
  <si>
    <t>dua ratus sembilan puluh enam</t>
  </si>
  <si>
    <t>dua ratus sembilan puluh tujuh</t>
  </si>
  <si>
    <t>dua ratus sembilan puluh delapan</t>
  </si>
  <si>
    <t>dua ratus sembilan puluh sembilan</t>
  </si>
  <si>
    <t>tiga ratus</t>
  </si>
  <si>
    <t>tiga ratus satu</t>
  </si>
  <si>
    <t>tiga ratus dua</t>
  </si>
  <si>
    <t>tiga ratus tiga</t>
  </si>
  <si>
    <t>tiga ratus empat</t>
  </si>
  <si>
    <t>tiga ratus lima</t>
  </si>
  <si>
    <t>tiga ratus enam</t>
  </si>
  <si>
    <t>tiga ratus tujuh</t>
  </si>
  <si>
    <t>tiga ratus delapan</t>
  </si>
  <si>
    <t>tiga ratus sembilan</t>
  </si>
  <si>
    <t>tiga ratus sepuluh</t>
  </si>
  <si>
    <t>tiga ratus sebelas</t>
  </si>
  <si>
    <t>tiga ratus dua belas</t>
  </si>
  <si>
    <t>tiga ratus tiga belas</t>
  </si>
  <si>
    <t>tiga ratus empat belas</t>
  </si>
  <si>
    <t>tiga ratus lima belas</t>
  </si>
  <si>
    <t>tiga ratus enam belas</t>
  </si>
  <si>
    <t>tiga ratus tujuh belas</t>
  </si>
  <si>
    <t>tiga ratus delapan belas</t>
  </si>
  <si>
    <t>tiga ratus sembilan belas</t>
  </si>
  <si>
    <t>tiga ratus dua puluh</t>
  </si>
  <si>
    <t>tiga ratus dua puluh satu</t>
  </si>
  <si>
    <t>tiga ratus dua puluh dua</t>
  </si>
  <si>
    <t>tiga ratus dua puluh tiga</t>
  </si>
  <si>
    <t>tiga ratus dua puluh empat</t>
  </si>
  <si>
    <t>tiga ratus dua puluh lima</t>
  </si>
  <si>
    <t>tiga ratus dua puluh enam</t>
  </si>
  <si>
    <t>tiga ratus dua puluh tujuh</t>
  </si>
  <si>
    <t>tiga ratus dua puluh delapan</t>
  </si>
  <si>
    <t>tiga ratus dua puluh sembilan</t>
  </si>
  <si>
    <t>tiga ratus tiga puluh</t>
  </si>
  <si>
    <t>tiga ratus tiga puluh satu</t>
  </si>
  <si>
    <t>tiga ratus tiga puluh dua</t>
  </si>
  <si>
    <t>tiga ratus tiga puluh tiga</t>
  </si>
  <si>
    <t>tiga ratus tiga puluh empat</t>
  </si>
  <si>
    <t>tiga ratus tiga puluh lima</t>
  </si>
  <si>
    <t>tiga ratus tiga puluh enam</t>
  </si>
  <si>
    <t>tiga ratus tiga puluh tujuh</t>
  </si>
  <si>
    <t>tiga ratus tiga puluh delapan</t>
  </si>
  <si>
    <t>tiga ratus tiga puluh sembilan</t>
  </si>
  <si>
    <t>tiga ratus empat puluh</t>
  </si>
  <si>
    <t>tiga ratus empat puluh satu</t>
  </si>
  <si>
    <t>tiga ratus empat puluh dua</t>
  </si>
  <si>
    <t>tiga ratus empat puluh tiga</t>
  </si>
  <si>
    <t>tiga ratus empat puluh empat</t>
  </si>
  <si>
    <t>tiga ratus empat puluh lima</t>
  </si>
  <si>
    <t>tiga ratus empat puluh enam</t>
  </si>
  <si>
    <t>tiga ratus empat puluh tujuh</t>
  </si>
  <si>
    <t>tiga ratus empat puluh delapan</t>
  </si>
  <si>
    <t>tiga ratus empat puluh sembilan</t>
  </si>
  <si>
    <t>tiga ratus lima puluh</t>
  </si>
  <si>
    <t>tiga ratus lima puluh satu</t>
  </si>
  <si>
    <t>tiga ratus lima puluh dua</t>
  </si>
  <si>
    <t>tiga ratus lima puluh tiga</t>
  </si>
  <si>
    <t>tiga ratus lima puluh empat</t>
  </si>
  <si>
    <t>tiga ratus lima puluh lima</t>
  </si>
  <si>
    <t>tiga ratus lima puluh enam</t>
  </si>
  <si>
    <t>tiga ratus lima puluh tujuh</t>
  </si>
  <si>
    <t>tiga ratus lima puluh delapan</t>
  </si>
  <si>
    <t>tiga ratus lima puluh sembilan</t>
  </si>
  <si>
    <t>tiga ratus enam puluh</t>
  </si>
  <si>
    <t>tiga ratus enam puluh satu</t>
  </si>
  <si>
    <t>tiga ratus enam puluh dua</t>
  </si>
  <si>
    <t>tiga ratus enam puluh tiga</t>
  </si>
  <si>
    <t>tiga ratus enam puluh empat</t>
  </si>
  <si>
    <t>tiga ratus enam puluh lima</t>
  </si>
  <si>
    <t>tiga ratus enam puluh enam</t>
  </si>
  <si>
    <t>tiga ratus enam puluh tujuh</t>
  </si>
  <si>
    <t>tiga ratus enam puluh delapan</t>
  </si>
  <si>
    <t>tiga ratus enam puluh sembilan</t>
  </si>
  <si>
    <t>tiga ratus tujuh puluh</t>
  </si>
  <si>
    <t>tiga ratus tujuh puluh satu</t>
  </si>
  <si>
    <t>tiga ratus tujuh puluh dua</t>
  </si>
  <si>
    <t>tiga ratus tujuh puluh tiga</t>
  </si>
  <si>
    <t>tiga ratus tujuh puluh empat</t>
  </si>
  <si>
    <t>tiga ratus tujuh puluh lima</t>
  </si>
  <si>
    <t>tiga ratus tujuh puluh enam</t>
  </si>
  <si>
    <t>tiga ratus tujuh puluh tujuh</t>
  </si>
  <si>
    <t>tiga ratus tujuh puluh delapan</t>
  </si>
  <si>
    <t>tiga ratus tujuh puluh sembilan</t>
  </si>
  <si>
    <t>tiga ratus delapan puluh</t>
  </si>
  <si>
    <t>tiga ratus delapan puluh satu</t>
  </si>
  <si>
    <t>tiga ratus delapan puluh dua</t>
  </si>
  <si>
    <t>tiga ratus delapan puluh tiga</t>
  </si>
  <si>
    <t>tiga ratus delapan puluh empat</t>
  </si>
  <si>
    <t>tiga ratus delapan puluh lima</t>
  </si>
  <si>
    <t>tiga ratus delapan puluh enam</t>
  </si>
  <si>
    <t>tiga ratus delapan puluh tujuh</t>
  </si>
  <si>
    <t>tiga ratus delapan puluh delapan</t>
  </si>
  <si>
    <t>tiga ratus delapan puluh sembilan</t>
  </si>
  <si>
    <t>tiga ratus sembilan puluh</t>
  </si>
  <si>
    <t>tiga ratus sembilan puluh satu</t>
  </si>
  <si>
    <t>tiga ratus sembilan puluh dua</t>
  </si>
  <si>
    <t>tiga ratus sembilan puluh tiga</t>
  </si>
  <si>
    <t>tiga ratus sembilan puluh empat</t>
  </si>
  <si>
    <t>tiga ratus sembilan puluh lima</t>
  </si>
  <si>
    <t>tiga ratus sembilan puluh enam</t>
  </si>
  <si>
    <t>tiga ratus sembilan puluh tujuh</t>
  </si>
  <si>
    <t>tiga ratus sembilan puluh delapan</t>
  </si>
  <si>
    <t>tiga ratus sembilan puluh sembilan</t>
  </si>
  <si>
    <t>empat ratus</t>
  </si>
  <si>
    <t>empat ratus satu</t>
  </si>
  <si>
    <t>empat ratus dua</t>
  </si>
  <si>
    <t>empat ratus tiga</t>
  </si>
  <si>
    <t>empat ratus empat</t>
  </si>
  <si>
    <t>empat ratus lima</t>
  </si>
  <si>
    <t>empat ratus enam</t>
  </si>
  <si>
    <t>empat ratus tujuh</t>
  </si>
  <si>
    <t>empat ratus delapan</t>
  </si>
  <si>
    <t>empat ratus sembilan</t>
  </si>
  <si>
    <t>empat ratus sepuluh</t>
  </si>
  <si>
    <t>empat ratus sebelas</t>
  </si>
  <si>
    <t>empat ratus dua belas</t>
  </si>
  <si>
    <t>empat ratus tiga belas</t>
  </si>
  <si>
    <t>empat ratus empat belas</t>
  </si>
  <si>
    <t>empat ratus lima belas</t>
  </si>
  <si>
    <t>empat ratus enam belas</t>
  </si>
  <si>
    <t>empat ratus tujuh belas</t>
  </si>
  <si>
    <t>empat ratus delapan belas</t>
  </si>
  <si>
    <t>empat ratus sembilan belas</t>
  </si>
  <si>
    <t>empat ratus dua puluh</t>
  </si>
  <si>
    <t>empat ratus dua puluh satu</t>
  </si>
  <si>
    <t>empat ratus dua puluh dua</t>
  </si>
  <si>
    <t>empat ratus dua puluh tiga</t>
  </si>
  <si>
    <t>empat ratus dua puluh empat</t>
  </si>
  <si>
    <t>empat ratus dua puluh lima</t>
  </si>
  <si>
    <t>empat ratus dua puluh enam</t>
  </si>
  <si>
    <t>empat ratus dua puluh tujuh</t>
  </si>
  <si>
    <t>empat ratus dua puluh delapan</t>
  </si>
  <si>
    <t>empat ratus dua puluh sembilan</t>
  </si>
  <si>
    <t>empat ratus tiga puluh</t>
  </si>
  <si>
    <t>empat ratus tiga puluh satu</t>
  </si>
  <si>
    <t>empat ratus tiga puluh dua</t>
  </si>
  <si>
    <t>empat ratus tiga puluh tiga</t>
  </si>
  <si>
    <t>empat ratus tiga puluh empat</t>
  </si>
  <si>
    <t>empat ratus tiga puluh lima</t>
  </si>
  <si>
    <t>empat ratus tiga puluh enam</t>
  </si>
  <si>
    <t>empat ratus tiga puluh tujuh</t>
  </si>
  <si>
    <t>empat ratus tiga puluh delapan</t>
  </si>
  <si>
    <t>empat ratus tiga puluh sembilan</t>
  </si>
  <si>
    <t>empat ratus empat puluh</t>
  </si>
  <si>
    <t>empat ratus empat puluh satu</t>
  </si>
  <si>
    <t>empat ratus empat puluh dua</t>
  </si>
  <si>
    <t>empat ratus empat puluh tiga</t>
  </si>
  <si>
    <t>empat ratus empat puluh empat</t>
  </si>
  <si>
    <t>empat ratus empat puluh lima</t>
  </si>
  <si>
    <t>empat ratus empat puluh enam</t>
  </si>
  <si>
    <t>empat ratus empat puluh tujuh</t>
  </si>
  <si>
    <t>empat ratus empat puluh delapan</t>
  </si>
  <si>
    <t>empat ratus empat puluh sembilan</t>
  </si>
  <si>
    <t>empat ratus lima puluh</t>
  </si>
  <si>
    <t>empat ratus lima puluh satu</t>
  </si>
  <si>
    <t>empat ratus lima puluh dua</t>
  </si>
  <si>
    <t>empat ratus lima puluh tiga</t>
  </si>
  <si>
    <t>empat ratus lima puluh empat</t>
  </si>
  <si>
    <t>empat ratus lima puluh lima</t>
  </si>
  <si>
    <t>empat ratus lima puluh enam</t>
  </si>
  <si>
    <t>empat ratus lima puluh tujuh</t>
  </si>
  <si>
    <t>empat ratus lima puluh delapan</t>
  </si>
  <si>
    <t>empat ratus lima puluh sembilan</t>
  </si>
  <si>
    <t>empat ratus enam puluh</t>
  </si>
  <si>
    <t>empat ratus enam puluh satu</t>
  </si>
  <si>
    <t>empat ratus enam puluh dua</t>
  </si>
  <si>
    <t>empat ratus enam puluh tiga</t>
  </si>
  <si>
    <t>empat ratus enam puluh empat</t>
  </si>
  <si>
    <t>empat ratus enam puluh lima</t>
  </si>
  <si>
    <t>empat ratus enam puluh enam</t>
  </si>
  <si>
    <t>empat ratus enam puluh tujuh</t>
  </si>
  <si>
    <t>empat ratus enam puluh delapan</t>
  </si>
  <si>
    <t>empat ratus enam puluh sembilan</t>
  </si>
  <si>
    <t>empat ratus tujuh puluh</t>
  </si>
  <si>
    <t>empat ratus tujuh puluh satu</t>
  </si>
  <si>
    <t>empat ratus tujuh puluh dua</t>
  </si>
  <si>
    <t>empat ratus tujuh puluh tiga</t>
  </si>
  <si>
    <t>empat ratus tujuh puluh empat</t>
  </si>
  <si>
    <t>empat ratus tujuh puluh lima</t>
  </si>
  <si>
    <t>empat ratus tujuh puluh enam</t>
  </si>
  <si>
    <t>empat ratus tujuh puluh tujuh</t>
  </si>
  <si>
    <t>empat ratus tujuh puluh delapan</t>
  </si>
  <si>
    <t>empat ratus tujuh puluh sembilan</t>
  </si>
  <si>
    <t>empat ratus delapan puluh</t>
  </si>
  <si>
    <t>empat ratus delapan puluh satu</t>
  </si>
  <si>
    <t>empat ratus delapan puluh dua</t>
  </si>
  <si>
    <t>empat ratus delapan puluh tiga</t>
  </si>
  <si>
    <t>empat ratus delapan puluh empat</t>
  </si>
  <si>
    <t>empat ratus delapan puluh lima</t>
  </si>
  <si>
    <t>empat ratus delapan puluh enam</t>
  </si>
  <si>
    <t>empat ratus delapan puluh tujuh</t>
  </si>
  <si>
    <t>empat ratus delapan puluh delapan</t>
  </si>
  <si>
    <t>empat ratus delapan puluh sembilan</t>
  </si>
  <si>
    <t>empat ratus sembilan puluh</t>
  </si>
  <si>
    <t>empat ratus sembilan puluh satu</t>
  </si>
  <si>
    <t>empat ratus sembilan puluh dua</t>
  </si>
  <si>
    <t>empat ratus sembilan puluh tiga</t>
  </si>
  <si>
    <t>empat ratus sembilan puluh empat</t>
  </si>
  <si>
    <t>empat ratus sembilan puluh lima</t>
  </si>
  <si>
    <t>empat ratus sembilan puluh enam</t>
  </si>
  <si>
    <t>empat ratus sembilan puluh tujuh</t>
  </si>
  <si>
    <t>empat ratus sembilan puluh delapan</t>
  </si>
  <si>
    <t>empat ratus sembilan puluh sembilan</t>
  </si>
  <si>
    <t>lima ratus</t>
  </si>
  <si>
    <t>lima ratus satu</t>
  </si>
  <si>
    <t>lima ratus dua</t>
  </si>
  <si>
    <t>lima ratus tiga</t>
  </si>
  <si>
    <t>lima ratus empat</t>
  </si>
  <si>
    <t>lima ratus lima</t>
  </si>
  <si>
    <t>lima ratus enam</t>
  </si>
  <si>
    <t>lima ratus tujuh</t>
  </si>
  <si>
    <t>lima ratus delapan</t>
  </si>
  <si>
    <t>lima ratus sembilan</t>
  </si>
  <si>
    <t>lima ratus sepuluh</t>
  </si>
  <si>
    <t>lima ratus sebelas</t>
  </si>
  <si>
    <t>lima ratus dua belas</t>
  </si>
  <si>
    <t>lima ratus tiga belas</t>
  </si>
  <si>
    <t>lima ratus empat belas</t>
  </si>
  <si>
    <t>lima ratus lima belas</t>
  </si>
  <si>
    <t>lima ratus enam belas</t>
  </si>
  <si>
    <t>lima ratus tujuh belas</t>
  </si>
  <si>
    <t>lima ratus delapan belas</t>
  </si>
  <si>
    <t>lima ratus sembilan belas</t>
  </si>
  <si>
    <t>lima ratus dua puluh</t>
  </si>
  <si>
    <t>lima ratus dua puluh satu</t>
  </si>
  <si>
    <t>lima ratus dua puluh dua</t>
  </si>
  <si>
    <t>lima ratus dua puluh tiga</t>
  </si>
  <si>
    <t>lima ratus dua puluh empat</t>
  </si>
  <si>
    <t>lima ratus dua puluh lima</t>
  </si>
  <si>
    <t>lima ratus dua puluh enam</t>
  </si>
  <si>
    <t>lima ratus dua puluh tujuh</t>
  </si>
  <si>
    <t>lima ratus dua puluh delapan</t>
  </si>
  <si>
    <t>lima ratus dua puluh sembilan</t>
  </si>
  <si>
    <t>lima ratus tiga puluh</t>
  </si>
  <si>
    <t>lima ratus tiga puluh satu</t>
  </si>
  <si>
    <t>lima ratus tiga puluh dua</t>
  </si>
  <si>
    <t>lima ratus tiga puluh tiga</t>
  </si>
  <si>
    <t>lima ratus tiga puluh empat</t>
  </si>
  <si>
    <t>lima ratus tiga puluh lima</t>
  </si>
  <si>
    <t>lima ratus tiga puluh enam</t>
  </si>
  <si>
    <t>lima ratus tiga puluh tujuh</t>
  </si>
  <si>
    <t>lima ratus tiga puluh delapan</t>
  </si>
  <si>
    <t>lima ratus tiga puluh sembilan</t>
  </si>
  <si>
    <t>lima ratus empat puluh</t>
  </si>
  <si>
    <t>lima ratus empat puluh satu</t>
  </si>
  <si>
    <t>lima ratus empat puluh dua</t>
  </si>
  <si>
    <t>lima ratus empat puluh tiga</t>
  </si>
  <si>
    <t>lima ratus empat puluh empat</t>
  </si>
  <si>
    <t>lima ratus empat puluh lima</t>
  </si>
  <si>
    <t>lima ratus empat puluh enam</t>
  </si>
  <si>
    <t>lima ratus empat puluh tujuh</t>
  </si>
  <si>
    <t>lima ratus empat puluh delapan</t>
  </si>
  <si>
    <t>lima ratus empat puluh sembilan</t>
  </si>
  <si>
    <t>lima ratus lima puluh</t>
  </si>
  <si>
    <t>lima ratus lima puluh satu</t>
  </si>
  <si>
    <t>lima ratus lima puluh dua</t>
  </si>
  <si>
    <t>lima ratus lima puluh tiga</t>
  </si>
  <si>
    <t>lima ratus lima puluh empat</t>
  </si>
  <si>
    <t>lima ratus lima puluh lima</t>
  </si>
  <si>
    <t>lima ratus lima puluh enam</t>
  </si>
  <si>
    <t>lima ratus lima puluh tujuh</t>
  </si>
  <si>
    <t>lima ratus lima puluh delapan</t>
  </si>
  <si>
    <t>lima ratus lima puluh sembilan</t>
  </si>
  <si>
    <t>lima ratus enam puluh</t>
  </si>
  <si>
    <t>lima ratus enam puluh satu</t>
  </si>
  <si>
    <t>lima ratus enam puluh dua</t>
  </si>
  <si>
    <t>lima ratus enam puluh tiga</t>
  </si>
  <si>
    <t>lima ratus enam puluh empat</t>
  </si>
  <si>
    <t>lima ratus enam puluh lima</t>
  </si>
  <si>
    <t>lima ratus enam puluh enam</t>
  </si>
  <si>
    <t>lima ratus enam puluh tujuh</t>
  </si>
  <si>
    <t>lima ratus enam puluh delapan</t>
  </si>
  <si>
    <t>lima ratus enam puluh sembilan</t>
  </si>
  <si>
    <t>lima ratus tujuh puluh</t>
  </si>
  <si>
    <t>lima ratus tujuh puluh satu</t>
  </si>
  <si>
    <t>lima ratus tujuh puluh dua</t>
  </si>
  <si>
    <t>lima ratus tujuh puluh tiga</t>
  </si>
  <si>
    <t>lima ratus tujuh puluh empat</t>
  </si>
  <si>
    <t>lima ratus tujuh puluh lima</t>
  </si>
  <si>
    <t>lima ratus tujuh puluh enam</t>
  </si>
  <si>
    <t>lima ratus tujuh puluh tujuh</t>
  </si>
  <si>
    <t>lima ratus tujuh puluh delapan</t>
  </si>
  <si>
    <t>lima ratus tujuh puluh sembilan</t>
  </si>
  <si>
    <t>lima ratus delapan puluh</t>
  </si>
  <si>
    <t>lima ratus delapan puluh satu</t>
  </si>
  <si>
    <t>lima ratus delapan puluh dua</t>
  </si>
  <si>
    <t>lima ratus delapan puluh tiga</t>
  </si>
  <si>
    <t>lima ratus delapan puluh empat</t>
  </si>
  <si>
    <t>lima ratus delapan puluh lima</t>
  </si>
  <si>
    <t>lima ratus delapan puluh enam</t>
  </si>
  <si>
    <t>lima ratus delapan puluh tujuh</t>
  </si>
  <si>
    <t>lima ratus delapan puluh delapan</t>
  </si>
  <si>
    <t>lima ratus delapan puluh sembilan</t>
  </si>
  <si>
    <t>lima ratus sembilan puluh</t>
  </si>
  <si>
    <t>lima ratus sembilan puluh satu</t>
  </si>
  <si>
    <t>lima ratus sembilan puluh dua</t>
  </si>
  <si>
    <t>lima ratus sembilan puluh tiga</t>
  </si>
  <si>
    <t>lima ratus sembilan puluh empat</t>
  </si>
  <si>
    <t>lima ratus sembilan puluh lima</t>
  </si>
  <si>
    <t>lima ratus sembilan puluh enam</t>
  </si>
  <si>
    <t>lima ratus sembilan puluh tujuh</t>
  </si>
  <si>
    <t>lima ratus sembilan puluh delapan</t>
  </si>
  <si>
    <t>lima ratus sembilan puluh sembilan</t>
  </si>
  <si>
    <t>enam ratus</t>
  </si>
  <si>
    <t>enam ratus satu</t>
  </si>
  <si>
    <t>enam ratus dua</t>
  </si>
  <si>
    <t>enam ratus tiga</t>
  </si>
  <si>
    <t>enam ratus empat</t>
  </si>
  <si>
    <t>enam ratus lima</t>
  </si>
  <si>
    <t>enam ratus enam</t>
  </si>
  <si>
    <t>enam ratus tujuh</t>
  </si>
  <si>
    <t>enam ratus delapan</t>
  </si>
  <si>
    <t>enam ratus sembilan</t>
  </si>
  <si>
    <t>enam ratus sepuluh</t>
  </si>
  <si>
    <t>enam ratus sebelas</t>
  </si>
  <si>
    <t>enam ratus dua belas</t>
  </si>
  <si>
    <t>enam ratus tiga belas</t>
  </si>
  <si>
    <t>enam ratus empat belas</t>
  </si>
  <si>
    <t>enam ratus lima belas</t>
  </si>
  <si>
    <t>enam ratus enam belas</t>
  </si>
  <si>
    <t>enam ratus tujuh belas</t>
  </si>
  <si>
    <t>enam ratus delapan belas</t>
  </si>
  <si>
    <t>enam ratus sembilan belas</t>
  </si>
  <si>
    <t>enam ratus dua puluh</t>
  </si>
  <si>
    <t>enam ratus dua puluh satu</t>
  </si>
  <si>
    <t>enam ratus dua puluh dua</t>
  </si>
  <si>
    <t>enam ratus dua puluh tiga</t>
  </si>
  <si>
    <t>enam ratus dua puluh empat</t>
  </si>
  <si>
    <t>enam ratus dua puluh lima</t>
  </si>
  <si>
    <t>enam ratus dua puluh enam</t>
  </si>
  <si>
    <t>enam ratus dua puluh tujuh</t>
  </si>
  <si>
    <t>enam ratus dua puluh delapan</t>
  </si>
  <si>
    <t>enam ratus dua puluh sembilan</t>
  </si>
  <si>
    <t>enam ratus tiga puluh</t>
  </si>
  <si>
    <t>enam ratus tiga puluh satu</t>
  </si>
  <si>
    <t>enam ratus tiga puluh dua</t>
  </si>
  <si>
    <t>enam ratus tiga puluh tiga</t>
  </si>
  <si>
    <t>enam ratus tiga puluh empat</t>
  </si>
  <si>
    <t>enam ratus tiga puluh lima</t>
  </si>
  <si>
    <t>enam ratus tiga puluh enam</t>
  </si>
  <si>
    <t>enam ratus tiga puluh tujuh</t>
  </si>
  <si>
    <t>enam ratus tiga puluh delapan</t>
  </si>
  <si>
    <t>enam ratus tiga puluh sembilan</t>
  </si>
  <si>
    <t>enam ratus empat puluh</t>
  </si>
  <si>
    <t>enam ratus empat puluh satu</t>
  </si>
  <si>
    <t>enam ratus empat puluh dua</t>
  </si>
  <si>
    <t>enam ratus empat puluh tiga</t>
  </si>
  <si>
    <t>enam ratus empat puluh empat</t>
  </si>
  <si>
    <t>enam ratus empat puluh lima</t>
  </si>
  <si>
    <t>enam ratus empat puluh enam</t>
  </si>
  <si>
    <t>enam ratus empat puluh tujuh</t>
  </si>
  <si>
    <t>enam ratus empat puluh delapan</t>
  </si>
  <si>
    <t>enam ratus empat puluh sembilan</t>
  </si>
  <si>
    <t>enam ratus lima puluh</t>
  </si>
  <si>
    <t>enam ratus lima puluh satu</t>
  </si>
  <si>
    <t>enam ratus lima puluh dua</t>
  </si>
  <si>
    <t>enam ratus lima puluh tiga</t>
  </si>
  <si>
    <t>enam ratus lima puluh empat</t>
  </si>
  <si>
    <t>enam ratus lima puluh lima</t>
  </si>
  <si>
    <t>enam ratus lima puluh enam</t>
  </si>
  <si>
    <t>enam ratus lima puluh tujuh</t>
  </si>
  <si>
    <t>enam ratus lima puluh delapan</t>
  </si>
  <si>
    <t>enam ratus lima puluh sembilan</t>
  </si>
  <si>
    <t>enam ratus enam puluh</t>
  </si>
  <si>
    <t>enam ratus enam puluh satu</t>
  </si>
  <si>
    <t>enam ratus enam puluh dua</t>
  </si>
  <si>
    <t>enam ratus enam puluh tiga</t>
  </si>
  <si>
    <t>enam ratus enam puluh empat</t>
  </si>
  <si>
    <t>enam ratus enam puluh lima</t>
  </si>
  <si>
    <t>enam ratus enam puluh enam</t>
  </si>
  <si>
    <t>enam ratus enam puluh tujuh</t>
  </si>
  <si>
    <t>enam ratus enam puluh delapan</t>
  </si>
  <si>
    <t>enam ratus enam puluh sembilan</t>
  </si>
  <si>
    <t>enam ratus tujuh puluh</t>
  </si>
  <si>
    <t>enam ratus tujuh puluh satu</t>
  </si>
  <si>
    <t>enam ratus tujuh puluh dua</t>
  </si>
  <si>
    <t>enam ratus tujuh puluh tiga</t>
  </si>
  <si>
    <t>enam ratus tujuh puluh empat</t>
  </si>
  <si>
    <t>enam ratus tujuh puluh lima</t>
  </si>
  <si>
    <t>enam ratus tujuh puluh enam</t>
  </si>
  <si>
    <t>enam ratus tujuh puluh tujuh</t>
  </si>
  <si>
    <t>enam ratus tujuh puluh delapan</t>
  </si>
  <si>
    <t>enam ratus tujuh puluh sembilan</t>
  </si>
  <si>
    <t>enam ratus delapan puluh</t>
  </si>
  <si>
    <t>enam ratus delapan puluh satu</t>
  </si>
  <si>
    <t>enam ratus delapan puluh dua</t>
  </si>
  <si>
    <t>enam ratus delapan puluh tiga</t>
  </si>
  <si>
    <t>enam ratus delapan puluh empat</t>
  </si>
  <si>
    <t>enam ratus delapan puluh lima</t>
  </si>
  <si>
    <t>enam ratus delapan puluh enam</t>
  </si>
  <si>
    <t>enam ratus delapan puluh tujuh</t>
  </si>
  <si>
    <t>enam ratus delapan puluh delapan</t>
  </si>
  <si>
    <t>enam ratus delapan puluh sembilan</t>
  </si>
  <si>
    <t>enam ratus sembilan puluh</t>
  </si>
  <si>
    <t>enam ratus sembilan puluh satu</t>
  </si>
  <si>
    <t>enam ratus sembilan puluh dua</t>
  </si>
  <si>
    <t>enam ratus sembilan puluh tiga</t>
  </si>
  <si>
    <t>enam ratus sembilan puluh empat</t>
  </si>
  <si>
    <t>enam ratus sembilan puluh lima</t>
  </si>
  <si>
    <t>enam ratus sembilan puluh enam</t>
  </si>
  <si>
    <t>enam ratus sembilan puluh tujuh</t>
  </si>
  <si>
    <t>enam ratus sembilan puluh delapan</t>
  </si>
  <si>
    <t>enam ratus sembilan puluh sembilan</t>
  </si>
  <si>
    <t>tujuh ratus</t>
  </si>
  <si>
    <t>tujuh ratus satu</t>
  </si>
  <si>
    <t>tujuh ratus dua</t>
  </si>
  <si>
    <t>tujuh ratus tiga</t>
  </si>
  <si>
    <t>tujuh ratus empat</t>
  </si>
  <si>
    <t>tujuh ratus lima</t>
  </si>
  <si>
    <t>tujuh ratus enam</t>
  </si>
  <si>
    <t>tujuh ratus tujuh</t>
  </si>
  <si>
    <t>tujuh ratus delapan</t>
  </si>
  <si>
    <t>tujuh ratus sembilan</t>
  </si>
  <si>
    <t>tujuh ratus sepuluh</t>
  </si>
  <si>
    <t>tujuh ratus sebelas</t>
  </si>
  <si>
    <t>tujuh ratus dua belas</t>
  </si>
  <si>
    <t>tujuh ratus tiga belas</t>
  </si>
  <si>
    <t>tujuh ratus empat belas</t>
  </si>
  <si>
    <t>tujuh ratus lima belas</t>
  </si>
  <si>
    <t>tujuh ratus enam belas</t>
  </si>
  <si>
    <t>tujuh ratus tujuh belas</t>
  </si>
  <si>
    <t>tujuh ratus delapan belas</t>
  </si>
  <si>
    <t>tujuh ratus sembilan belas</t>
  </si>
  <si>
    <t>tujuh ratus dua puluh</t>
  </si>
  <si>
    <t>tujuh ratus dua puluh satu</t>
  </si>
  <si>
    <t>tujuh ratus dua puluh dua</t>
  </si>
  <si>
    <t>tujuh ratus dua puluh tiga</t>
  </si>
  <si>
    <t>tujuh ratus dua puluh empat</t>
  </si>
  <si>
    <t>tujuh ratus dua puluh lima</t>
  </si>
  <si>
    <t>tujuh ratus dua puluh enam</t>
  </si>
  <si>
    <t>tujuh ratus dua puluh tujuh</t>
  </si>
  <si>
    <t>tujuh ratus dua puluh delapan</t>
  </si>
  <si>
    <t>tujuh ratus dua puluh sembilan</t>
  </si>
  <si>
    <t>tujuh ratus tiga puluh</t>
  </si>
  <si>
    <t>tujuh ratus tiga puluh satu</t>
  </si>
  <si>
    <t>tujuh ratus tiga puluh dua</t>
  </si>
  <si>
    <t>tujuh ratus tiga puluh tiga</t>
  </si>
  <si>
    <t>tujuh ratus tiga puluh empat</t>
  </si>
  <si>
    <t>tujuh ratus tiga puluh lima</t>
  </si>
  <si>
    <t>tujuh ratus tiga puluh enam</t>
  </si>
  <si>
    <t>tujuh ratus tiga puluh tujuh</t>
  </si>
  <si>
    <t>tujuh ratus tiga puluh delapan</t>
  </si>
  <si>
    <t>tujuh ratus tiga puluh sembilan</t>
  </si>
  <si>
    <t>tujuh ratus empat puluh</t>
  </si>
  <si>
    <t>tujuh ratus empat puluh satu</t>
  </si>
  <si>
    <t>tujuh ratus empat puluh dua</t>
  </si>
  <si>
    <t>tujuh ratus empat puluh tiga</t>
  </si>
  <si>
    <t>tujuh ratus empat puluh empat</t>
  </si>
  <si>
    <t>tujuh ratus empat puluh lima</t>
  </si>
  <si>
    <t>tujuh ratus empat puluh enam</t>
  </si>
  <si>
    <t>tujuh ratus empat puluh tujuh</t>
  </si>
  <si>
    <t>tujuh ratus empat puluh delapan</t>
  </si>
  <si>
    <t>tujuh ratus empat puluh sembilan</t>
  </si>
  <si>
    <t>tujuh ratus lima puluh</t>
  </si>
  <si>
    <t>tujuh ratus lima puluh satu</t>
  </si>
  <si>
    <t>tujuh ratus lima puluh dua</t>
  </si>
  <si>
    <t>tujuh ratus lima puluh tiga</t>
  </si>
  <si>
    <t>tujuh ratus lima puluh empat</t>
  </si>
  <si>
    <t>tujuh ratus lima puluh lima</t>
  </si>
  <si>
    <t>tujuh ratus lima puluh enam</t>
  </si>
  <si>
    <t>tujuh ratus lima puluh tujuh</t>
  </si>
  <si>
    <t>tujuh ratus lima puluh delapan</t>
  </si>
  <si>
    <t>tujuh ratus lima puluh sembilan</t>
  </si>
  <si>
    <t>tujuh ratus enam puluh</t>
  </si>
  <si>
    <t>tujuh ratus enam puluh satu</t>
  </si>
  <si>
    <t>tujuh ratus enam puluh dua</t>
  </si>
  <si>
    <t>tujuh ratus enam puluh tiga</t>
  </si>
  <si>
    <t>tujuh ratus enam puluh empat</t>
  </si>
  <si>
    <t>tujuh ratus enam puluh lima</t>
  </si>
  <si>
    <t>tujuh ratus enam puluh enam</t>
  </si>
  <si>
    <t>tujuh ratus enam puluh tujuh</t>
  </si>
  <si>
    <t>tujuh ratus enam puluh delapan</t>
  </si>
  <si>
    <t>tujuh ratus enam puluh sembilan</t>
  </si>
  <si>
    <t>tujuh ratus tujuh puluh</t>
  </si>
  <si>
    <t>tujuh ratus tujuh puluh satu</t>
  </si>
  <si>
    <t>tujuh ratus tujuh puluh dua</t>
  </si>
  <si>
    <t>tujuh ratus tujuh puluh tiga</t>
  </si>
  <si>
    <t>tujuh ratus tujuh puluh empat</t>
  </si>
  <si>
    <t>tujuh ratus tujuh puluh lima</t>
  </si>
  <si>
    <t>tujuh ratus tujuh puluh enam</t>
  </si>
  <si>
    <t>tujuh ratus tujuh puluh tujuh</t>
  </si>
  <si>
    <t>tujuh ratus tujuh puluh delapan</t>
  </si>
  <si>
    <t>tujuh ratus tujuh puluh sembilan</t>
  </si>
  <si>
    <t>tujuh ratus delapan puluh</t>
  </si>
  <si>
    <t>tujuh ratus delapan puluh satu</t>
  </si>
  <si>
    <t>tujuh ratus delapan puluh dua</t>
  </si>
  <si>
    <t>tujuh ratus delapan puluh tiga</t>
  </si>
  <si>
    <t>tujuh ratus delapan puluh empat</t>
  </si>
  <si>
    <t>tujuh ratus delapan puluh lima</t>
  </si>
  <si>
    <t>tujuh ratus delapan puluh enam</t>
  </si>
  <si>
    <t>tujuh ratus delapan puluh tujuh</t>
  </si>
  <si>
    <t>tujuh ratus delapan puluh delapan</t>
  </si>
  <si>
    <t>tujuh ratus delapan puluh sembilan</t>
  </si>
  <si>
    <t>tujuh ratus sembilan puluh</t>
  </si>
  <si>
    <t>tujuh ratus sembilan puluh satu</t>
  </si>
  <si>
    <t>tujuh ratus sembilan puluh dua</t>
  </si>
  <si>
    <t>tujuh ratus sembilan puluh tiga</t>
  </si>
  <si>
    <t>tujuh ratus sembilan puluh empat</t>
  </si>
  <si>
    <t>tujuh ratus sembilan puluh lima</t>
  </si>
  <si>
    <t>tujuh ratus sembilan puluh enam</t>
  </si>
  <si>
    <t>tujuh ratus sembilan puluh tujuh</t>
  </si>
  <si>
    <t>tujuh ratus sembilan puluh delapan</t>
  </si>
  <si>
    <t>tujuh ratus sembilan puluh sembilan</t>
  </si>
  <si>
    <t>delapan ratus</t>
  </si>
  <si>
    <t>delapan ratus satu</t>
  </si>
  <si>
    <t>delapan ratus dua</t>
  </si>
  <si>
    <t>delapan ratus tiga</t>
  </si>
  <si>
    <t>delapan ratus empat</t>
  </si>
  <si>
    <t>delapan ratus lima</t>
  </si>
  <si>
    <t>delapan ratus enam</t>
  </si>
  <si>
    <t>delapan ratus tujuh</t>
  </si>
  <si>
    <t>delapan ratus delapan</t>
  </si>
  <si>
    <t>delapan ratus sembilan</t>
  </si>
  <si>
    <t>delapan ratus sepuluh</t>
  </si>
  <si>
    <t>delapan ratus sebelas</t>
  </si>
  <si>
    <t>delapan ratus dua belas</t>
  </si>
  <si>
    <t>delapan ratus tiga belas</t>
  </si>
  <si>
    <t>delapan ratus empat belas</t>
  </si>
  <si>
    <t>delapan ratus lima belas</t>
  </si>
  <si>
    <t>delapan ratus enam belas</t>
  </si>
  <si>
    <t>delapan ratus tujuh belas</t>
  </si>
  <si>
    <t>delapan ratus delapan belas</t>
  </si>
  <si>
    <t>delapan ratus sembilan belas</t>
  </si>
  <si>
    <t>delapan ratus dua puluh</t>
  </si>
  <si>
    <t>delapan ratus dua puluh satu</t>
  </si>
  <si>
    <t>delapan ratus dua puluh dua</t>
  </si>
  <si>
    <t>delapan ratus dua puluh tiga</t>
  </si>
  <si>
    <t>delapan ratus dua puluh empat</t>
  </si>
  <si>
    <t>delapan ratus dua puluh lima</t>
  </si>
  <si>
    <t>delapan ratus dua puluh enam</t>
  </si>
  <si>
    <t>delapan ratus dua puluh tujuh</t>
  </si>
  <si>
    <t>delapan ratus dua puluh delapan</t>
  </si>
  <si>
    <t>delapan ratus dua puluh sembilan</t>
  </si>
  <si>
    <t>delapan ratus tiga puluh</t>
  </si>
  <si>
    <t>delapan ratus tiga puluh satu</t>
  </si>
  <si>
    <t>delapan ratus tiga puluh dua</t>
  </si>
  <si>
    <t>delapan ratus tiga puluh tiga</t>
  </si>
  <si>
    <t>delapan ratus tiga puluh empat</t>
  </si>
  <si>
    <t>delapan ratus tiga puluh lima</t>
  </si>
  <si>
    <t>delapan ratus tiga puluh enam</t>
  </si>
  <si>
    <t>delapan ratus tiga puluh tujuh</t>
  </si>
  <si>
    <t>delapan ratus tiga puluh delapan</t>
  </si>
  <si>
    <t>delapan ratus tiga puluh sembilan</t>
  </si>
  <si>
    <t>delapan ratus empat puluh</t>
  </si>
  <si>
    <t>delapan ratus empat puluh satu</t>
  </si>
  <si>
    <t>delapan ratus empat puluh dua</t>
  </si>
  <si>
    <t>delapan ratus empat puluh tiga</t>
  </si>
  <si>
    <t>delapan ratus empat puluh empat</t>
  </si>
  <si>
    <t>delapan ratus empat puluh lima</t>
  </si>
  <si>
    <t>delapan ratus empat puluh enam</t>
  </si>
  <si>
    <t>delapan ratus empat puluh tujuh</t>
  </si>
  <si>
    <t>delapan ratus empat puluh delapan</t>
  </si>
  <si>
    <t>delapan ratus empat puluh sembilan</t>
  </si>
  <si>
    <t>delapan ratus lima puluh</t>
  </si>
  <si>
    <t>delapan ratus lima puluh satu</t>
  </si>
  <si>
    <t>delapan ratus lima puluh dua</t>
  </si>
  <si>
    <t>delapan ratus lima puluh tiga</t>
  </si>
  <si>
    <t>delapan ratus lima puluh empat</t>
  </si>
  <si>
    <t>delapan ratus lima puluh lima</t>
  </si>
  <si>
    <t>delapan ratus lima puluh enam</t>
  </si>
  <si>
    <t>delapan ratus lima puluh tujuh</t>
  </si>
  <si>
    <t>delapan ratus lima puluh delapan</t>
  </si>
  <si>
    <t>delapan ratus lima puluh sembilan</t>
  </si>
  <si>
    <t>delapan ratus enam puluh</t>
  </si>
  <si>
    <t>delapan ratus enam puluh satu</t>
  </si>
  <si>
    <t>delapan ratus enam puluh dua</t>
  </si>
  <si>
    <t>delapan ratus enam puluh tiga</t>
  </si>
  <si>
    <t>delapan ratus enam puluh empat</t>
  </si>
  <si>
    <t>delapan ratus enam puluh lima</t>
  </si>
  <si>
    <t>delapan ratus enam puluh enam</t>
  </si>
  <si>
    <t>delapan ratus enam puluh tujuh</t>
  </si>
  <si>
    <t>delapan ratus enam puluh delapan</t>
  </si>
  <si>
    <t>delapan ratus enam puluh sembilan</t>
  </si>
  <si>
    <t>delapan ratus tujuh puluh</t>
  </si>
  <si>
    <t>delapan ratus tujuh puluh satu</t>
  </si>
  <si>
    <t>delapan ratus tujuh puluh dua</t>
  </si>
  <si>
    <t>delapan ratus tujuh puluh tiga</t>
  </si>
  <si>
    <t>delapan ratus tujuh puluh empat</t>
  </si>
  <si>
    <t>delapan ratus tujuh puluh lima</t>
  </si>
  <si>
    <t>delapan ratus tujuh puluh enam</t>
  </si>
  <si>
    <t>delapan ratus tujuh puluh tujuh</t>
  </si>
  <si>
    <t>delapan ratus tujuh puluh delapan</t>
  </si>
  <si>
    <t>delapan ratus tujuh puluh sembilan</t>
  </si>
  <si>
    <t>delapan ratus delapan puluh</t>
  </si>
  <si>
    <t>delapan ratus delapan puluh satu</t>
  </si>
  <si>
    <t>delapan ratus delapan puluh dua</t>
  </si>
  <si>
    <t>delapan ratus delapan puluh tiga</t>
  </si>
  <si>
    <t>delapan ratus delapan puluh empat</t>
  </si>
  <si>
    <t>delapan ratus delapan puluh lima</t>
  </si>
  <si>
    <t>delapan ratus delapan puluh enam</t>
  </si>
  <si>
    <t>delapan ratus delapan puluh tujuh</t>
  </si>
  <si>
    <t>delapan ratus delapan puluh delapan</t>
  </si>
  <si>
    <t>delapan ratus delapan puluh sembilan</t>
  </si>
  <si>
    <t>delapan ratus sembilan puluh</t>
  </si>
  <si>
    <t>delapan ratus sembilan puluh satu</t>
  </si>
  <si>
    <t>delapan ratus sembilan puluh dua</t>
  </si>
  <si>
    <t>delapan ratus sembilan puluh tiga</t>
  </si>
  <si>
    <t>delapan ratus sembilan puluh empat</t>
  </si>
  <si>
    <t>delapan ratus sembilan puluh lima</t>
  </si>
  <si>
    <t>delapan ratus sembilan puluh enam</t>
  </si>
  <si>
    <t>delapan ratus sembilan puluh tujuh</t>
  </si>
  <si>
    <t>delapan ratus sembilan puluh delapan</t>
  </si>
  <si>
    <t>delapan ratus sembilan puluh sembilan</t>
  </si>
  <si>
    <t>sembilan ratus</t>
  </si>
  <si>
    <t>sembilan ratus satu</t>
  </si>
  <si>
    <t>sembilan ratus dua</t>
  </si>
  <si>
    <t>sembilan ratus tiga</t>
  </si>
  <si>
    <t>sembilan ratus empat</t>
  </si>
  <si>
    <t>sembilan ratus lima</t>
  </si>
  <si>
    <t>sembilan ratus enam</t>
  </si>
  <si>
    <t>sembilan ratus tujuh</t>
  </si>
  <si>
    <t>sembilan ratus delapan</t>
  </si>
  <si>
    <t>sembilan ratus sembilan</t>
  </si>
  <si>
    <t>sembilan ratus sepuluh</t>
  </si>
  <si>
    <t>sembilan ratus sebelas</t>
  </si>
  <si>
    <t>sembilan ratus dua belas</t>
  </si>
  <si>
    <t>sembilan ratus tiga belas</t>
  </si>
  <si>
    <t>sembilan ratus empat belas</t>
  </si>
  <si>
    <t>sembilan ratus lima belas</t>
  </si>
  <si>
    <t>sembilan ratus enam belas</t>
  </si>
  <si>
    <t>sembilan ratus tujuh belas</t>
  </si>
  <si>
    <t>sembilan ratus delapan belas</t>
  </si>
  <si>
    <t>sembilan ratus sembilan belas</t>
  </si>
  <si>
    <t>sembilan ratus dua puluh</t>
  </si>
  <si>
    <t>sembilan ratus dua puluh satu</t>
  </si>
  <si>
    <t>sembilan ratus dua puluh dua</t>
  </si>
  <si>
    <t>sembilan ratus dua puluh tiga</t>
  </si>
  <si>
    <t>sembilan ratus dua puluh empat</t>
  </si>
  <si>
    <t>sembilan ratus dua puluh lima</t>
  </si>
  <si>
    <t>sembilan ratus dua puluh enam</t>
  </si>
  <si>
    <t>sembilan ratus dua puluh tujuh</t>
  </si>
  <si>
    <t>sembilan ratus dua puluh delapan</t>
  </si>
  <si>
    <t>sembilan ratus dua puluh sembilan</t>
  </si>
  <si>
    <t>sembilan ratus tiga puluh</t>
  </si>
  <si>
    <t>sembilan ratus tiga puluh satu</t>
  </si>
  <si>
    <t>sembilan ratus tiga puluh dua</t>
  </si>
  <si>
    <t>sembilan ratus tiga puluh tiga</t>
  </si>
  <si>
    <t>sembilan ratus tiga puluh empat</t>
  </si>
  <si>
    <t>sembilan ratus tiga puluh lima</t>
  </si>
  <si>
    <t>sembilan ratus tiga puluh enam</t>
  </si>
  <si>
    <t>sembilan ratus tiga puluh tujuh</t>
  </si>
  <si>
    <t>sembilan ratus tiga puluh delapan</t>
  </si>
  <si>
    <t>sembilan ratus tiga puluh sembilan</t>
  </si>
  <si>
    <t>sembilan ratus empat puluh</t>
  </si>
  <si>
    <t>sembilan ratus empat puluh satu</t>
  </si>
  <si>
    <t>sembilan ratus empat puluh dua</t>
  </si>
  <si>
    <t>sembilan ratus empat puluh tiga</t>
  </si>
  <si>
    <t>sembilan ratus empat puluh empat</t>
  </si>
  <si>
    <t>sembilan ratus empat puluh lima</t>
  </si>
  <si>
    <t>sembilan ratus empat puluh enam</t>
  </si>
  <si>
    <t>sembilan ratus empat puluh tujuh</t>
  </si>
  <si>
    <t>sembilan ratus empat puluh delapan</t>
  </si>
  <si>
    <t>sembilan ratus empat puluh sembilan</t>
  </si>
  <si>
    <t>sembilan ratus lima puluh</t>
  </si>
  <si>
    <t>sembilan ratus lima puluh satu</t>
  </si>
  <si>
    <t>sembilan ratus lima puluh dua</t>
  </si>
  <si>
    <t>sembilan ratus lima puluh tiga</t>
  </si>
  <si>
    <t>sembilan ratus lima puluh empat</t>
  </si>
  <si>
    <t>sembilan ratus lima puluh lima</t>
  </si>
  <si>
    <t>sembilan ratus lima puluh enam</t>
  </si>
  <si>
    <t>sembilan ratus lima puluh tujuh</t>
  </si>
  <si>
    <t>sembilan ratus lima puluh delapan</t>
  </si>
  <si>
    <t>sembilan ratus lima puluh sembilan</t>
  </si>
  <si>
    <t>sembilan ratus enam puluh</t>
  </si>
  <si>
    <t>sembilan ratus enam puluh satu</t>
  </si>
  <si>
    <t>sembilan ratus enam puluh dua</t>
  </si>
  <si>
    <t>sembilan ratus enam puluh tiga</t>
  </si>
  <si>
    <t>sembilan ratus enam puluh empat</t>
  </si>
  <si>
    <t>sembilan ratus enam puluh lima</t>
  </si>
  <si>
    <t>sembilan ratus enam puluh enam</t>
  </si>
  <si>
    <t>sembilan ratus enam puluh tujuh</t>
  </si>
  <si>
    <t>sembilan ratus enam puluh delapan</t>
  </si>
  <si>
    <t>sembilan ratus enam puluh sembilan</t>
  </si>
  <si>
    <t>sembilan ratus tujuh puluh</t>
  </si>
  <si>
    <t>sembilan ratus tujuh puluh satu</t>
  </si>
  <si>
    <t>sembilan ratus tujuh puluh dua</t>
  </si>
  <si>
    <t>sembilan ratus tujuh puluh tiga</t>
  </si>
  <si>
    <t>sembilan ratus tujuh puluh empat</t>
  </si>
  <si>
    <t>sembilan ratus tujuh puluh lima</t>
  </si>
  <si>
    <t>sembilan ratus tujuh puluh enam</t>
  </si>
  <si>
    <t>sembilan ratus tujuh puluh tujuh</t>
  </si>
  <si>
    <t>sembilan ratus tujuh puluh delapan</t>
  </si>
  <si>
    <t>sembilan ratus tujuh puluh sembilan</t>
  </si>
  <si>
    <t>sembilan ratus delapan puluh</t>
  </si>
  <si>
    <t>sembilan ratus delapan puluh satu</t>
  </si>
  <si>
    <t>sembilan ratus delapan puluh dua</t>
  </si>
  <si>
    <t>sembilan ratus delapan puluh tiga</t>
  </si>
  <si>
    <t>sembilan ratus delapan puluh empat</t>
  </si>
  <si>
    <t>sembilan ratus delapan puluh lima</t>
  </si>
  <si>
    <t>sembilan ratus delapan puluh enam</t>
  </si>
  <si>
    <t>sembilan ratus delapan puluh tujuh</t>
  </si>
  <si>
    <t>sembilan ratus delapan puluh delapan</t>
  </si>
  <si>
    <t>sembilan ratus delapan puluh sembilan</t>
  </si>
  <si>
    <t>sembilan ratus sembilan puluh</t>
  </si>
  <si>
    <t>sembilan ratus sembilan puluh satu</t>
  </si>
  <si>
    <t>sembilan ratus sembilan puluh dua</t>
  </si>
  <si>
    <t>sembilan ratus sembilan puluh tiga</t>
  </si>
  <si>
    <t>sembilan ratus sembilan puluh empat</t>
  </si>
  <si>
    <t>sembilan ratus sembilan puluh lima</t>
  </si>
  <si>
    <t>sembilan ratus sembilan puluh enam</t>
  </si>
  <si>
    <t>sembilan ratus sembilan puluh tujuh</t>
  </si>
  <si>
    <t>sembilan ratus sembilan puluh delapan</t>
  </si>
  <si>
    <t>sembilan ratus sembilan puluh sembilan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</si>
</sst>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_(* #,##0_);_(* (#,##0);_(* -??_);_(@_)"/>
    <numFmt numFmtId="166" formatCode="0.0%;-0.0%;-"/>
    <numFmt numFmtId="167" formatCode="dd mmmm yyyy"/>
  </numFmts>
  <fonts count="25" x14ac:knownFonts="1">
    <font>
      <color theme="1"/>
      <family val="2"/>
      <scheme val="minor"/>
      <sz val="11"/>
      <name val="Calibri"/>
    </font>
    <font>
      <b/>
      <charset val="1"/>
      <sz val="16"/>
      <name val="Cambria"/>
    </font>
    <font>
      <b/>
      <charset val="1"/>
      <sz val="11"/>
      <name val="Cambria"/>
    </font>
    <font>
      <b/>
      <charset val="1"/>
      <color rgb="FF0000FF"/>
      <sz val="11"/>
      <name val="Cambria"/>
    </font>
    <font>
      <i/>
      <charset val="1"/>
      <color rgb="FF595959"/>
      <sz val="9"/>
      <name val="Cambria"/>
    </font>
    <font>
      <charset val="1"/>
      <color theme="1"/>
      <family val="2"/>
      <sz val="11"/>
      <name val="Calibri"/>
    </font>
    <font>
      <charset val="1"/>
      <sz val="8"/>
      <name val="Cambria"/>
    </font>
    <font>
      <charset val="1"/>
      <sz val="12"/>
      <name val="Cambria"/>
    </font>
    <font>
      <b/>
      <charset val="1"/>
      <sz val="11"/>
      <name val="Calibri"/>
    </font>
    <font>
      <charset val="1"/>
      <sz val="11"/>
      <name val="Calibri"/>
    </font>
    <font>
      <charset val="1"/>
      <color rgb="FF0000FF"/>
      <sz val="11"/>
      <name val="Calibri"/>
    </font>
    <font>
      <b/>
      <charset val="1"/>
      <sz val="12"/>
      <name val="Cambria"/>
    </font>
    <font>
      <b/>
      <charset val="1"/>
      <color rgb="FF595959"/>
      <sz val="9"/>
      <name val="Cambria"/>
    </font>
    <font>
      <b/>
      <charset val="1"/>
      <family val="2"/>
      <sz val="18"/>
      <name val="Calibri"/>
    </font>
    <font>
      <b/>
      <charset val="1"/>
      <family val="2"/>
      <sz val="12"/>
      <name val="Calibri"/>
    </font>
    <font>
      <i/>
      <charset val="1"/>
      <color rgb="FF7F7F7F"/>
      <family val="2"/>
      <sz val="9"/>
      <name val="Calibri"/>
    </font>
    <font>
      <b/>
      <charset val="1"/>
      <family val="2"/>
      <sz val="11"/>
      <name val="Calibri"/>
    </font>
    <font>
      <charset val="1"/>
      <color rgb="FF0000FF"/>
      <family val="2"/>
      <sz val="11"/>
      <name val="Calibri"/>
    </font>
    <font>
      <charset val="1"/>
      <color rgb="FF0000FF"/>
      <sz val="11"/>
      <name val="Cambria"/>
    </font>
    <font>
      <charset val="1"/>
      <family val="2"/>
      <sz val="11"/>
      <name val="Calibri"/>
    </font>
    <font>
      <charset val="1"/>
      <color rgb="FF008000"/>
      <family val="2"/>
      <sz val="11"/>
      <name val="Calibri"/>
    </font>
    <font>
      <i/>
      <charset val="1"/>
      <color rgb="FF0000FF"/>
      <family val="2"/>
      <sz val="11"/>
      <name val="Calibri"/>
    </font>
    <font>
      <charset val="1"/>
      <color rgb="FF0000FF"/>
      <family val="2"/>
      <sz val="12"/>
      <name val="Calibri"/>
    </font>
    <font>
      <b/>
      <charset val="1"/>
      <color rgb="FF595959"/>
      <family val="2"/>
      <sz val="9"/>
      <name val="Calibri"/>
    </font>
    <font>
      <i/>
      <charset val="1"/>
      <color rgb="FF595959"/>
      <family val="2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2CC"/>
      </patternFill>
    </fill>
    <fill>
      <patternFill patternType="solid">
        <fgColor rgb="FFFFE699"/>
        <bgColor rgb="FFFFF2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bottom"/>
    </xf>
    <xf numFmtId="164" fontId="3" fillId="3" borderId="1" xfId="0" applyNumberFormat="1" applyFont="1" applyFill="1" applyBorder="1" applyAlignment="1">
      <alignment horizontal="center" vertical="bottom"/>
    </xf>
    <xf numFmtId="0" fontId="4" fillId="0" borderId="0" xfId="0" applyFont="1" applyAlignment="1">
      <alignment vertical="bottom"/>
    </xf>
    <xf numFmtId="0" fontId="3" fillId="3" borderId="1" xfId="0" applyFont="1" applyFill="1" applyBorder="1" applyAlignment="1">
      <alignment horizontal="center" vertical="bottom"/>
    </xf>
    <xf numFmtId="0" fontId="2" fillId="2" borderId="1" xfId="0" applyFont="1" applyFill="1" applyBorder="1" applyAlignment="1">
      <alignment horizontal="center" vertical="bottom"/>
    </xf>
    <xf numFmtId="0" fontId="2" fillId="4" borderId="1" xfId="0" applyFont="1" applyFill="1" applyBorder="1" applyAlignment="1">
      <alignment vertical="bottom"/>
    </xf>
    <xf numFmtId="165" fontId="2" fillId="4" borderId="1" xfId="0" applyNumberFormat="1" applyFont="1" applyFill="1" applyBorder="1" applyAlignment="1">
      <alignment vertical="bottom"/>
    </xf>
    <xf numFmtId="164" fontId="2" fillId="4" borderId="1" xfId="0" applyNumberFormat="1" applyFont="1" applyFill="1" applyBorder="1" applyAlignment="1">
      <alignment vertical="bottom"/>
    </xf>
    <xf numFmtId="0" fontId="5" fillId="0" borderId="1" xfId="0" applyFont="1" applyBorder="1" applyAlignment="1">
      <alignment vertical="bottom"/>
    </xf>
    <xf numFmtId="165" fontId="5" fillId="0" borderId="1" xfId="0" applyNumberFormat="1" applyFont="1" applyBorder="1" applyAlignment="1">
      <alignment vertical="bottom"/>
    </xf>
    <xf numFmtId="164" fontId="5" fillId="0" borderId="1" xfId="0" applyNumberFormat="1" applyFont="1" applyBorder="1" applyAlignment="1">
      <alignment vertical="bottom"/>
    </xf>
    <xf numFmtId="0" fontId="1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bottom"/>
    </xf>
    <xf numFmtId="166" fontId="8" fillId="0" borderId="1" xfId="0" applyNumberFormat="1" applyFont="1" applyBorder="1" applyAlignment="1">
      <alignment vertical="bottom"/>
    </xf>
    <xf numFmtId="165" fontId="8" fillId="0" borderId="1" xfId="0" applyNumberFormat="1" applyFont="1" applyBorder="1" applyAlignment="1">
      <alignment vertical="bottom"/>
    </xf>
    <xf numFmtId="0" fontId="9" fillId="0" borderId="1" xfId="0" applyFont="1" applyBorder="1" applyAlignment="1">
      <alignment vertical="bottom"/>
    </xf>
    <xf numFmtId="165" fontId="10" fillId="3" borderId="1" xfId="0" applyNumberFormat="1" applyFont="1" applyFill="1" applyBorder="1" applyAlignment="1">
      <alignment vertical="bottom"/>
    </xf>
    <xf numFmtId="0" fontId="11" fillId="0" borderId="1" xfId="0" applyFont="1" applyBorder="1" applyAlignment="1">
      <alignment vertical="bottom"/>
    </xf>
    <xf numFmtId="0" fontId="11" fillId="4" borderId="1" xfId="0" applyFont="1" applyFill="1" applyBorder="1" applyAlignment="1">
      <alignment vertical="bottom"/>
    </xf>
    <xf numFmtId="166" fontId="8" fillId="4" borderId="1" xfId="0" applyNumberFormat="1" applyFont="1" applyFill="1" applyBorder="1" applyAlignment="1">
      <alignment vertical="bottom"/>
    </xf>
    <xf numFmtId="165" fontId="8" fillId="4" borderId="1" xfId="0" applyNumberFormat="1" applyFont="1" applyFill="1" applyBorder="1" applyAlignment="1">
      <alignment vertical="bottom"/>
    </xf>
    <xf numFmtId="166" fontId="9" fillId="0" borderId="1" xfId="0" applyNumberFormat="1" applyFont="1" applyBorder="1" applyAlignment="1">
      <alignment vertical="bottom"/>
    </xf>
    <xf numFmtId="165" fontId="9" fillId="0" borderId="1" xfId="0" applyNumberFormat="1" applyFont="1" applyBorder="1" applyAlignment="1">
      <alignment vertical="bottom"/>
    </xf>
    <xf numFmtId="166" fontId="10" fillId="3" borderId="1" xfId="0" applyNumberFormat="1" applyFont="1" applyFill="1" applyBorder="1" applyAlignment="1">
      <alignment vertical="bottom"/>
    </xf>
    <xf numFmtId="0" fontId="9" fillId="4" borderId="1" xfId="0" applyFont="1" applyFill="1" applyBorder="1" applyAlignment="1">
      <alignment vertical="bottom"/>
    </xf>
    <xf numFmtId="0" fontId="12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13" fillId="2" borderId="3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bottom"/>
    </xf>
    <xf numFmtId="0" fontId="15" fillId="0" borderId="0" xfId="0" applyFont="1" applyAlignment="1">
      <alignment vertical="bottom"/>
    </xf>
    <xf numFmtId="0" fontId="16" fillId="4" borderId="3" xfId="0" applyFont="1" applyFill="1" applyBorder="1" applyAlignment="1">
      <alignment vertical="bottom"/>
    </xf>
    <xf numFmtId="0" fontId="17" fillId="3" borderId="3" xfId="0" applyFont="1" applyFill="1" applyBorder="1" applyAlignment="1">
      <alignment horizontal="left" vertical="bottom"/>
    </xf>
    <xf numFmtId="167" fontId="17" fillId="3" borderId="3" xfId="0" applyNumberFormat="1" applyFont="1" applyFill="1" applyBorder="1" applyAlignment="1">
      <alignment horizontal="left" vertical="bottom"/>
    </xf>
    <xf numFmtId="0" fontId="18" fillId="3" borderId="3" xfId="0" applyFont="1" applyFill="1" applyBorder="1" applyAlignment="1">
      <alignment horizontal="left" vertical="bottom" shrinkToFit="1"/>
    </xf>
    <xf numFmtId="0" fontId="19" fillId="0" borderId="3" xfId="0" applyFont="1" applyBorder="1" applyAlignment="1">
      <alignment horizontal="left" vertical="bottom"/>
    </xf>
    <xf numFmtId="165" fontId="20" fillId="0" borderId="3" xfId="0" applyNumberFormat="1" applyFont="1" applyBorder="1" applyAlignment="1">
      <alignment horizontal="left" vertical="bottom"/>
    </xf>
    <xf numFmtId="0" fontId="14" fillId="2" borderId="3" xfId="0" applyFont="1" applyFill="1" applyBorder="1" applyAlignment="1">
      <alignment vertical="bottom"/>
    </xf>
    <xf numFmtId="0" fontId="16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vertical="bottom"/>
    </xf>
    <xf numFmtId="0" fontId="5" fillId="0" borderId="3" xfId="0" applyFont="1" applyBorder="1" applyAlignment="1">
      <alignment horizontal="center" vertical="bottom"/>
    </xf>
    <xf numFmtId="0" fontId="20" fillId="0" borderId="3" xfId="0" applyFont="1" applyBorder="1" applyAlignment="1">
      <alignment vertical="bottom"/>
    </xf>
    <xf numFmtId="166" fontId="20" fillId="0" borderId="3" xfId="0" applyNumberFormat="1" applyFont="1" applyBorder="1" applyAlignment="1">
      <alignment vertical="bottom"/>
    </xf>
    <xf numFmtId="165" fontId="20" fillId="0" borderId="3" xfId="0" applyNumberFormat="1" applyFont="1" applyBorder="1" applyAlignment="1">
      <alignment vertical="bottom"/>
    </xf>
    <xf numFmtId="9" fontId="17" fillId="3" borderId="3" xfId="0" applyNumberFormat="1" applyFont="1" applyFill="1" applyBorder="1" applyAlignment="1">
      <alignment vertical="bottom"/>
    </xf>
    <xf numFmtId="165" fontId="5" fillId="0" borderId="3" xfId="0" applyNumberFormat="1" applyFont="1" applyBorder="1" applyAlignment="1">
      <alignment vertical="bottom"/>
    </xf>
    <xf numFmtId="165" fontId="17" fillId="3" borderId="3" xfId="0" applyNumberFormat="1" applyFont="1" applyFill="1" applyBorder="1" applyAlignment="1">
      <alignment vertical="bottom"/>
    </xf>
    <xf numFmtId="0" fontId="17" fillId="3" borderId="3" xfId="0" applyFont="1" applyFill="1" applyBorder="1" applyAlignment="1">
      <alignment vertical="bottom"/>
    </xf>
    <xf numFmtId="0" fontId="5" fillId="0" borderId="3" xfId="0" applyFont="1" applyBorder="1" applyAlignment="1">
      <alignment vertical="bottom"/>
    </xf>
    <xf numFmtId="0" fontId="16" fillId="0" borderId="3" xfId="0" applyFont="1" applyBorder="1" applyAlignment="1">
      <alignment vertical="bottom"/>
    </xf>
    <xf numFmtId="166" fontId="16" fillId="0" borderId="3" xfId="0" applyNumberFormat="1" applyFont="1" applyBorder="1" applyAlignment="1">
      <alignment vertical="bottom"/>
    </xf>
    <xf numFmtId="165" fontId="16" fillId="0" borderId="3" xfId="0" applyNumberFormat="1" applyFont="1" applyBorder="1" applyAlignment="1">
      <alignment vertical="bottom"/>
    </xf>
    <xf numFmtId="166" fontId="16" fillId="2" borderId="3" xfId="0" applyNumberFormat="1" applyFont="1" applyFill="1" applyBorder="1" applyAlignment="1">
      <alignment vertical="bottom"/>
    </xf>
    <xf numFmtId="0" fontId="5" fillId="2" borderId="3" xfId="0" applyFont="1" applyFill="1" applyBorder="1" applyAlignment="1">
      <alignment vertical="bottom"/>
    </xf>
    <xf numFmtId="166" fontId="14" fillId="2" borderId="3" xfId="0" applyNumberFormat="1" applyFont="1" applyFill="1" applyBorder="1" applyAlignment="1">
      <alignment vertical="bottom"/>
    </xf>
    <xf numFmtId="165" fontId="14" fillId="2" borderId="3" xfId="0" applyNumberFormat="1" applyFont="1" applyFill="1" applyBorder="1" applyAlignment="1">
      <alignment vertical="bottom"/>
    </xf>
    <xf numFmtId="0" fontId="19" fillId="0" borderId="3" xfId="0" applyFont="1" applyBorder="1" applyAlignment="1">
      <alignment vertical="bottom"/>
    </xf>
    <xf numFmtId="164" fontId="20" fillId="0" borderId="3" xfId="0" applyNumberFormat="1" applyFont="1" applyBorder="1" applyAlignment="1">
      <alignment vertical="bottom"/>
    </xf>
    <xf numFmtId="0" fontId="21" fillId="3" borderId="3" xfId="0" applyFont="1" applyFill="1" applyBorder="1" applyAlignment="1">
      <alignment vertical="bottom"/>
    </xf>
    <xf numFmtId="0" fontId="16" fillId="4" borderId="3" xfId="0" applyFont="1" applyFill="1" applyBorder="1" applyAlignment="1">
      <alignment vertical="top" wrapText="1"/>
    </xf>
    <xf numFmtId="0" fontId="17" fillId="3" borderId="3" xfId="0" applyFont="1" applyFill="1" applyBorder="1" applyAlignment="1">
      <alignment vertical="top" wrapText="1"/>
    </xf>
    <xf numFmtId="0" fontId="16" fillId="2" borderId="3" xfId="0" applyFont="1" applyFill="1" applyBorder="1" applyAlignment="1">
      <alignment vertical="bottom"/>
    </xf>
    <xf numFmtId="49" fontId="17" fillId="3" borderId="3" xfId="0" applyNumberFormat="1" applyFont="1" applyFill="1" applyBorder="1" applyAlignment="1">
      <alignment vertical="bottom"/>
    </xf>
    <xf numFmtId="0" fontId="22" fillId="3" borderId="3" xfId="0" applyFont="1" applyFill="1" applyBorder="1" applyAlignment="1">
      <alignment horizontal="center" vertical="bottom"/>
    </xf>
    <xf numFmtId="0" fontId="16" fillId="4" borderId="3" xfId="0" applyFont="1" applyFill="1" applyBorder="1" applyAlignment="1">
      <alignment horizontal="center" vertical="bottom"/>
    </xf>
    <xf numFmtId="0" fontId="23" fillId="0" borderId="0" xfId="0" applyFont="1" applyAlignment="1">
      <alignment vertical="top" wrapText="1"/>
    </xf>
    <xf numFmtId="0" fontId="24" fillId="0" borderId="0" xfId="0" applyFont="1" applyAlignment="1">
      <alignment vertical="top" wrapText="1"/>
    </xf>
  </cellXfs>
  <cellStyles count="1">
    <cellStyle name="Normal" xfId="0" builtinId="0"/>
  </cellStyles>
  <dxfs count="4">
    <dxf>
      <font>
        <b/>
        <color rgb="FFC00000"/>
      </font>
    </dxf>
    <dxf>
      <font>
        <b/>
        <color rgb="FFC00000"/>
      </font>
    </dxf>
    <dxf>
      <font>
        <b/>
        <color rgb="FFC00000"/>
      </font>
    </dxf>
    <dxf>
      <font>
        <b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 zoomScale="100" zoomScaleNormal="100" view="normal">
      <pane xSplit="2" ySplit="7" topLeftCell="C8" activePane="bottomRight" state="frozen"/>
      <selection pane="bottomRight" activeCell="A1" sqref="A1"/>
    </sheetView>
  </sheetViews>
  <sheetFormatPr defaultRowHeight="15" outlineLevelRow="0" outlineLevelCol="0" x14ac:dyDescent="0" defaultColWidth="8.6796875"/>
  <cols>
    <col min="1" max="1" width="12" customWidth="1"/>
    <col min="2" max="2" width="52" customWidth="1"/>
    <col min="3" max="4" width="17" customWidth="1"/>
    <col min="5" max="5" width="16" customWidth="1"/>
    <col min="6" max="6" width="17" customWidth="1"/>
    <col min="7" max="7" width="16" customWidth="1"/>
    <col min="8" max="8" width="10" customWidth="1"/>
  </cols>
  <sheetData>
    <row r="1" ht="19.7" customHeight="1" spans="1:1" x14ac:dyDescent="0.25">
      <c r="A1" s="1" t="s">
        <v>0</v>
      </c>
    </row>
    <row r="3" ht="15" customHeight="1" spans="1:1" x14ac:dyDescent="0.25">
      <c r="A3" s="2" t="s">
        <v>1</v>
      </c>
    </row>
    <row r="4" ht="15" customHeight="1" spans="1:4" x14ac:dyDescent="0.25">
      <c r="A4" t="s">
        <v>2</v>
      </c>
      <c r="C4" s="3">
        <v>0.1</v>
      </c>
      <c r="D4" s="4" t="s">
        <v>3</v>
      </c>
    </row>
    <row r="5" ht="15" customHeight="1" spans="1:4" x14ac:dyDescent="0.25">
      <c r="A5" t="s">
        <v>4</v>
      </c>
      <c r="C5" s="5" t="s">
        <v>5</v>
      </c>
      <c r="D5" s="4" t="s">
        <v>6</v>
      </c>
    </row>
    <row r="7" ht="15" customHeight="1" spans="1:8" x14ac:dyDescent="0.25">
      <c r="A7" s="6" t="s">
        <v>7</v>
      </c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</row>
    <row r="8" ht="15" customHeight="1" spans="1:8" x14ac:dyDescent="0.25">
      <c r="A8" s="7" t="s">
        <v>15</v>
      </c>
      <c r="B8" s="7" t="str">
        <f>ADW!B1</f>
        <v>TOTAL ADW</v>
      </c>
      <c r="C8" s="8">
        <f>ADW!C6</f>
        <v>716165700</v>
      </c>
      <c r="D8" s="8">
        <f>ADW!C7</f>
        <v>658164306.75</v>
      </c>
      <c r="E8" s="8">
        <f>ADW!C11</f>
        <v>65816430.675</v>
      </c>
      <c r="F8" s="8">
        <f>ADW!C22</f>
        <v>723980737.425</v>
      </c>
      <c r="G8" s="8">
        <f>ADW!C23</f>
        <v>-7815037.42499999</v>
      </c>
      <c r="H8" s="9">
        <f>IF(C8=0,0,G8/C8)</f>
        <v>-0.0109123313571147</v>
      </c>
    </row>
    <row r="9" ht="15" customHeight="1" spans="1:8" x14ac:dyDescent="0.25">
      <c r="A9" s="10" t="s">
        <v>15</v>
      </c>
      <c r="B9" s="10" t="str">
        <f>ADW!D1</f>
        <v>Gempol Cirebon</v>
      </c>
      <c r="C9" s="11">
        <f>ADW!E6</f>
        <v>44741500</v>
      </c>
      <c r="D9" s="11">
        <f>ADW!E7</f>
        <v>42057010</v>
      </c>
      <c r="E9" s="11">
        <f>ADW!E11</f>
        <v>4205701</v>
      </c>
      <c r="F9" s="11">
        <f>ADW!E22</f>
        <v>46262711</v>
      </c>
      <c r="G9" s="11">
        <f>ADW!E23</f>
        <v>-1521211</v>
      </c>
      <c r="H9" s="12">
        <f>IF(C9=0,0,G9/C9)</f>
        <v>-0.034</v>
      </c>
    </row>
    <row r="10" ht="15" customHeight="1" spans="1:8" x14ac:dyDescent="0.25">
      <c r="A10" s="10" t="s">
        <v>15</v>
      </c>
      <c r="B10" s="10" t="str">
        <f>ADW!F1</f>
        <v>Kelurahan Mekarwangi Cianjur</v>
      </c>
      <c r="C10" s="11">
        <f>ADW!G6</f>
        <v>94550250</v>
      </c>
      <c r="D10" s="11">
        <f>ADW!G7</f>
        <v>88449545</v>
      </c>
      <c r="E10" s="11">
        <f>ADW!G11</f>
        <v>8844954.5</v>
      </c>
      <c r="F10" s="11">
        <f>ADW!G22</f>
        <v>97294499.5</v>
      </c>
      <c r="G10" s="11">
        <f>ADW!G23</f>
        <v>-2744249.5</v>
      </c>
      <c r="H10" s="12">
        <f>IF(C10=0,0,G10/C10)</f>
        <v>-0.0290242437222535</v>
      </c>
    </row>
    <row r="11" ht="15" customHeight="1" spans="1:8" x14ac:dyDescent="0.25">
      <c r="A11" s="10" t="s">
        <v>15</v>
      </c>
      <c r="B11" s="10" t="str">
        <f>ADW!H1</f>
        <v>Batumpang Rw 5 &amp; 6 Purwakarta</v>
      </c>
      <c r="C11" s="11">
        <f>ADW!I6</f>
        <v>25079800</v>
      </c>
      <c r="D11" s="11">
        <f>ADW!I7</f>
        <v>23309164</v>
      </c>
      <c r="E11" s="11">
        <f>ADW!I11</f>
        <v>2330916.4</v>
      </c>
      <c r="F11" s="11">
        <f>ADW!I22</f>
        <v>25640080.4</v>
      </c>
      <c r="G11" s="11">
        <f>ADW!I23</f>
        <v>-560280.399999999</v>
      </c>
      <c r="H11" s="12">
        <f>IF(C11=0,0,G11/C11)</f>
        <v>-0.0223399070168023</v>
      </c>
    </row>
    <row r="12" ht="15" customHeight="1" spans="1:8" x14ac:dyDescent="0.25">
      <c r="A12" s="10" t="s">
        <v>15</v>
      </c>
      <c r="B12" s="10" t="str">
        <f>ADW!J1</f>
        <v>Sub Feeder Kel. Mekarwangi Cianjur</v>
      </c>
      <c r="C12" s="11">
        <f>ADW!K6</f>
        <v>11247650</v>
      </c>
      <c r="D12" s="11">
        <f>ADW!K7</f>
        <v>10505277</v>
      </c>
      <c r="E12" s="11">
        <f>ADW!K11</f>
        <v>1050527.7</v>
      </c>
      <c r="F12" s="11">
        <f>ADW!K22</f>
        <v>11555804.7</v>
      </c>
      <c r="G12" s="11">
        <f>ADW!K23</f>
        <v>-308154.699999999</v>
      </c>
      <c r="H12" s="12">
        <f>IF(C12=0,0,G12/C12)</f>
        <v>-0.0273972518703906</v>
      </c>
    </row>
    <row r="13" ht="15" customHeight="1" spans="1:8" x14ac:dyDescent="0.25">
      <c r="A13" s="10" t="s">
        <v>15</v>
      </c>
      <c r="B13" s="10" t="str">
        <f>ADW!L1</f>
        <v>Sub Feeder Batumpang Rw 5 &amp; 6 Purwakarta</v>
      </c>
      <c r="C13" s="11">
        <f>ADW!M6</f>
        <v>17181250</v>
      </c>
      <c r="D13" s="11">
        <f>ADW!M7</f>
        <v>16215256.25</v>
      </c>
      <c r="E13" s="11">
        <f>ADW!M11</f>
        <v>1621525.625</v>
      </c>
      <c r="F13" s="11">
        <f>ADW!M22</f>
        <v>17836781.875</v>
      </c>
      <c r="G13" s="11">
        <f>ADW!M23</f>
        <v>-655531.875</v>
      </c>
      <c r="H13" s="12">
        <f>IF(C13=0,0,G13/C13)</f>
        <v>-0.0381539105129138</v>
      </c>
    </row>
    <row r="14" ht="15" customHeight="1" spans="1:8" x14ac:dyDescent="0.25">
      <c r="A14" s="10" t="s">
        <v>15</v>
      </c>
      <c r="B14" s="10" t="str">
        <f>ADW!N1</f>
        <v>Distribusi - TEPAS RW 07 NGAWI</v>
      </c>
      <c r="C14" s="11">
        <f>ADW!O6</f>
        <v>17894900</v>
      </c>
      <c r="D14" s="11">
        <f>ADW!O7</f>
        <v>15787828</v>
      </c>
      <c r="E14" s="11">
        <f>ADW!O11</f>
        <v>1578782.8</v>
      </c>
      <c r="F14" s="11">
        <f>ADW!O22</f>
        <v>17366610.8</v>
      </c>
      <c r="G14" s="11">
        <f>ADW!O23</f>
        <v>528289.199999999</v>
      </c>
      <c r="H14" s="12">
        <f>IF(C14=0,0,G14/C14)</f>
        <v>0.0295217743602926</v>
      </c>
    </row>
    <row r="15" ht="15" customHeight="1" spans="1:8" x14ac:dyDescent="0.25">
      <c r="A15" s="10" t="s">
        <v>15</v>
      </c>
      <c r="B15" s="10" t="str">
        <f>ADW!P1</f>
        <v>Subfeeder - TEPAS RW 07 NGAWI</v>
      </c>
      <c r="C15" s="11">
        <f>ADW!Q6</f>
        <v>11563600</v>
      </c>
      <c r="D15" s="11">
        <f>ADW!Q7</f>
        <v>10598148</v>
      </c>
      <c r="E15" s="11">
        <f>ADW!Q11</f>
        <v>1059814.8</v>
      </c>
      <c r="F15" s="11">
        <f>ADW!Q22</f>
        <v>11657962.8</v>
      </c>
      <c r="G15" s="11">
        <f>ADW!Q23</f>
        <v>-94362.8000000008</v>
      </c>
      <c r="H15" s="12">
        <f>IF(C15=0,0,G15/C15)</f>
        <v>-0.00816033069286388</v>
      </c>
    </row>
    <row r="16" ht="15" customHeight="1" spans="1:8" x14ac:dyDescent="0.25">
      <c r="A16" s="10" t="s">
        <v>15</v>
      </c>
      <c r="B16" s="10" t="str">
        <f>ADW!R1</f>
        <v>Distribusi - TEPAS RW 06 NGAWI</v>
      </c>
      <c r="C16" s="11">
        <f>ADW!S6</f>
        <v>20021000</v>
      </c>
      <c r="D16" s="11">
        <f>ADW!S7</f>
        <v>16740620</v>
      </c>
      <c r="E16" s="11">
        <f>ADW!S11</f>
        <v>1674062</v>
      </c>
      <c r="F16" s="11">
        <f>ADW!S22</f>
        <v>18414682</v>
      </c>
      <c r="G16" s="11">
        <f>ADW!S23</f>
        <v>1606318</v>
      </c>
      <c r="H16" s="12">
        <f>IF(C16=0,0,G16/C16)</f>
        <v>0.0802316567604016</v>
      </c>
    </row>
    <row r="17" ht="15" customHeight="1" spans="1:8" x14ac:dyDescent="0.25">
      <c r="A17" s="10" t="s">
        <v>15</v>
      </c>
      <c r="B17" s="10" t="str">
        <f>ADW!T1</f>
        <v>Distribusi - TEPAS RW 05 NGAWI -REV</v>
      </c>
      <c r="C17" s="11">
        <f>ADW!U6</f>
        <v>33655100</v>
      </c>
      <c r="D17" s="11">
        <f>ADW!U7</f>
        <v>29700522</v>
      </c>
      <c r="E17" s="11">
        <f>ADW!U11</f>
        <v>2970052.2</v>
      </c>
      <c r="F17" s="11">
        <f>ADW!U22</f>
        <v>32670574.2</v>
      </c>
      <c r="G17" s="11">
        <f>ADW!U23</f>
        <v>984525.800000001</v>
      </c>
      <c r="H17" s="12">
        <f>IF(C17=0,0,G17/C17)</f>
        <v>0.0292533910165176</v>
      </c>
    </row>
    <row r="18" ht="15" customHeight="1" spans="1:8" x14ac:dyDescent="0.25">
      <c r="A18" s="10" t="s">
        <v>15</v>
      </c>
      <c r="B18" s="10" t="str">
        <f>ADW!V1</f>
        <v>Subfeeder - TEPAS RW 05 NGAWI</v>
      </c>
      <c r="C18" s="11">
        <f>ADW!W6</f>
        <v>10727300</v>
      </c>
      <c r="D18" s="11">
        <f>ADW!W7</f>
        <v>9684714</v>
      </c>
      <c r="E18" s="11">
        <f>ADW!W11</f>
        <v>968471.4</v>
      </c>
      <c r="F18" s="11">
        <f>ADW!W22</f>
        <v>10653185.4</v>
      </c>
      <c r="G18" s="11">
        <f>ADW!W23</f>
        <v>74114.5999999996</v>
      </c>
      <c r="H18" s="12">
        <f>IF(C18=0,0,G18/C18)</f>
        <v>0.00690897057041377</v>
      </c>
    </row>
    <row r="19" ht="15" customHeight="1" spans="1:8" x14ac:dyDescent="0.25">
      <c r="A19" s="10" t="s">
        <v>15</v>
      </c>
      <c r="B19" s="10" t="str">
        <f>ADW!X1</f>
        <v>KELURAHAN SUKAPERNA MAJALENGKA</v>
      </c>
      <c r="C19" s="11">
        <f>ADW!Y6</f>
        <v>43362200</v>
      </c>
      <c r="D19" s="11">
        <f>ADW!Y7</f>
        <v>43776896</v>
      </c>
      <c r="E19" s="11">
        <f>ADW!Y11</f>
        <v>4377689.6</v>
      </c>
      <c r="F19" s="11">
        <f>ADW!Y22</f>
        <v>48154585.6</v>
      </c>
      <c r="G19" s="11">
        <f>ADW!Y23</f>
        <v>-4792385.6</v>
      </c>
      <c r="H19" s="12">
        <f>IF(C19=0,0,G19/C19)</f>
        <v>-0.110519890595957</v>
      </c>
    </row>
    <row r="20" ht="15" customHeight="1" spans="1:8" x14ac:dyDescent="0.25">
      <c r="A20" s="10" t="s">
        <v>15</v>
      </c>
      <c r="B20" s="10" t="str">
        <f>ADW!Z1</f>
        <v>SINDANG RW 07 MAJALENGKA</v>
      </c>
      <c r="C20" s="11">
        <f>ADW!AA6</f>
        <v>18878200</v>
      </c>
      <c r="D20" s="11">
        <f>ADW!AA7</f>
        <v>17110804</v>
      </c>
      <c r="E20" s="11">
        <f>ADW!AA11</f>
        <v>1711080.4</v>
      </c>
      <c r="F20" s="11">
        <f>ADW!AA22</f>
        <v>18821884.4</v>
      </c>
      <c r="G20" s="11">
        <f>ADW!AA23</f>
        <v>56315.6000000015</v>
      </c>
      <c r="H20" s="12">
        <f>IF(C20=0,0,G20/C20)</f>
        <v>0.00298310220254058</v>
      </c>
    </row>
    <row r="21" ht="15" customHeight="1" spans="1:8" x14ac:dyDescent="0.25">
      <c r="A21" s="10" t="s">
        <v>15</v>
      </c>
      <c r="B21" s="10" t="str">
        <f>ADW!AB1</f>
        <v>SINDANG RW 02 MAJALENGKA</v>
      </c>
      <c r="C21" s="11">
        <f>ADW!AC6</f>
        <v>16318600</v>
      </c>
      <c r="D21" s="11">
        <f>ADW!AC7</f>
        <v>14919842</v>
      </c>
      <c r="E21" s="11">
        <f>ADW!AC11</f>
        <v>1491984.2</v>
      </c>
      <c r="F21" s="11">
        <f>ADW!AC22</f>
        <v>16411826.2</v>
      </c>
      <c r="G21" s="11">
        <f>ADW!AC23</f>
        <v>-93226.1999999993</v>
      </c>
      <c r="H21" s="12">
        <f>IF(C21=0,0,G21/C21)</f>
        <v>-0.00571287978135375</v>
      </c>
    </row>
    <row r="22" ht="15" customHeight="1" spans="1:8" x14ac:dyDescent="0.25">
      <c r="A22" s="10" t="s">
        <v>15</v>
      </c>
      <c r="B22" s="10" t="str">
        <f>ADW!AD1</f>
        <v>SINDANG RW 01 MAJALENGKA</v>
      </c>
      <c r="C22" s="11">
        <f>ADW!AE6</f>
        <v>18945600</v>
      </c>
      <c r="D22" s="11">
        <f>ADW!AE7</f>
        <v>17401208</v>
      </c>
      <c r="E22" s="11">
        <f>ADW!AE11</f>
        <v>1740120.8</v>
      </c>
      <c r="F22" s="11">
        <f>ADW!AE22</f>
        <v>19141328.8</v>
      </c>
      <c r="G22" s="11">
        <f>ADW!AE23</f>
        <v>-195728.800000001</v>
      </c>
      <c r="H22" s="12">
        <f>IF(C22=0,0,G22/C22)</f>
        <v>-0.0103310953466768</v>
      </c>
    </row>
    <row r="23" ht="15" customHeight="1" spans="1:8" x14ac:dyDescent="0.25">
      <c r="A23" s="10" t="s">
        <v>15</v>
      </c>
      <c r="B23" s="10" t="str">
        <f>ADW!AF1</f>
        <v>PULLING DISTRIBUSI KELURAHAN GUNUNGTAWANG WONOSOBO</v>
      </c>
      <c r="C23" s="11">
        <f>ADW!AG6</f>
        <v>19128450</v>
      </c>
      <c r="D23" s="11">
        <f>ADW!AG7</f>
        <v>18198609</v>
      </c>
      <c r="E23" s="11">
        <f>ADW!AG11</f>
        <v>1819860.9</v>
      </c>
      <c r="F23" s="11">
        <f>ADW!AG22</f>
        <v>20018469.9</v>
      </c>
      <c r="G23" s="11">
        <f>ADW!AG23</f>
        <v>-890019.899999999</v>
      </c>
      <c r="H23" s="12">
        <f>IF(C23=0,0,G23/C23)</f>
        <v>-0.0465285948417148</v>
      </c>
    </row>
    <row r="24" ht="15" customHeight="1" spans="1:8" x14ac:dyDescent="0.25">
      <c r="A24" s="10" t="s">
        <v>15</v>
      </c>
      <c r="B24" s="10" t="str">
        <f>ADW!AH1</f>
        <v>PULLING SUBFEEDER KELURAHAN GUNUNGTAWANG WONOSOBO</v>
      </c>
      <c r="C24" s="11">
        <f>ADW!AI6</f>
        <v>16581600</v>
      </c>
      <c r="D24" s="11">
        <f>ADW!AI7</f>
        <v>16121852</v>
      </c>
      <c r="E24" s="11">
        <f>ADW!AI11</f>
        <v>1612185.2</v>
      </c>
      <c r="F24" s="11">
        <f>ADW!AI22</f>
        <v>17734037.2</v>
      </c>
      <c r="G24" s="11">
        <f>ADW!AI23</f>
        <v>-1152437.2</v>
      </c>
      <c r="H24" s="12">
        <f>IF(C24=0,0,G24/C24)</f>
        <v>-0.069500964924977</v>
      </c>
    </row>
    <row r="25" ht="15" customHeight="1" spans="1:8" x14ac:dyDescent="0.25">
      <c r="A25" s="10" t="s">
        <v>15</v>
      </c>
      <c r="B25" s="10" t="str">
        <f>ADW!AJ1</f>
        <v>PULLING DISTRIBUSI DUSUN MANGUNSARI TEGALSARI BARAT PEMALANG</v>
      </c>
      <c r="C25" s="11">
        <f>ADW!AK6</f>
        <v>34125800</v>
      </c>
      <c r="D25" s="11">
        <f>ADW!AK7</f>
        <v>30034494</v>
      </c>
      <c r="E25" s="11">
        <f>ADW!AK11</f>
        <v>3003449.4</v>
      </c>
      <c r="F25" s="11">
        <f>ADW!AK22</f>
        <v>33037943.4</v>
      </c>
      <c r="G25" s="11">
        <f>ADW!AK23</f>
        <v>1087856.6</v>
      </c>
      <c r="H25" s="12">
        <f>IF(C25=0,0,G25/C25)</f>
        <v>0.0318778343657878</v>
      </c>
    </row>
    <row r="26" ht="15" customHeight="1" spans="1:8" x14ac:dyDescent="0.25">
      <c r="A26" s="10" t="s">
        <v>15</v>
      </c>
      <c r="B26" s="10" t="str">
        <f>ADW!AL1</f>
        <v>PULLING SUBFEEDER DUSUN MANGUNSARI TEGALSARI BARAT PEMALANG</v>
      </c>
      <c r="C26" s="11">
        <f>ADW!AM6</f>
        <v>32275850</v>
      </c>
      <c r="D26" s="11">
        <f>ADW!AM7</f>
        <v>29151953</v>
      </c>
      <c r="E26" s="11">
        <f>ADW!AM11</f>
        <v>2915195.3</v>
      </c>
      <c r="F26" s="11">
        <f>ADW!AM22</f>
        <v>32067148.3</v>
      </c>
      <c r="G26" s="11">
        <f>ADW!AM23</f>
        <v>208701.699999999</v>
      </c>
      <c r="H26" s="12">
        <f>IF(C26=0,0,G26/C26)</f>
        <v>0.00646618756748464</v>
      </c>
    </row>
    <row r="27" ht="15" customHeight="1" spans="1:8" x14ac:dyDescent="0.25">
      <c r="A27" s="10" t="s">
        <v>15</v>
      </c>
      <c r="B27" s="10" t="str">
        <f>ADW!AN1</f>
        <v>WANASARI RW 01 SUBANG</v>
      </c>
      <c r="C27" s="11">
        <f>ADW!AO6</f>
        <v>9440850</v>
      </c>
      <c r="D27" s="11">
        <f>ADW!AO7</f>
        <v>8652253</v>
      </c>
      <c r="E27" s="11">
        <f>ADW!AO11</f>
        <v>865225.3</v>
      </c>
      <c r="F27" s="11">
        <f>ADW!AO22</f>
        <v>9517478.3</v>
      </c>
      <c r="G27" s="11">
        <f>ADW!AO23</f>
        <v>-76628.3000000008</v>
      </c>
      <c r="H27" s="12">
        <f>IF(C27=0,0,G27/C27)</f>
        <v>-0.00811667381644669</v>
      </c>
    </row>
    <row r="28" ht="15" customHeight="1" spans="1:8" x14ac:dyDescent="0.25">
      <c r="A28" s="10" t="s">
        <v>15</v>
      </c>
      <c r="B28" s="10" t="str">
        <f>ADW!AP1</f>
        <v>WANASARI RW 02 SUBANG</v>
      </c>
      <c r="C28" s="11">
        <f>ADW!AQ6</f>
        <v>13949300</v>
      </c>
      <c r="D28" s="11">
        <f>ADW!AQ7</f>
        <v>12830646</v>
      </c>
      <c r="E28" s="11">
        <f>ADW!AQ11</f>
        <v>1283064.6</v>
      </c>
      <c r="F28" s="11">
        <f>ADW!AQ22</f>
        <v>14113710.6</v>
      </c>
      <c r="G28" s="11">
        <f>ADW!AQ23</f>
        <v>-164410.6</v>
      </c>
      <c r="H28" s="12">
        <f>IF(C28=0,0,G28/C28)</f>
        <v>-0.0117862975203057</v>
      </c>
    </row>
    <row r="29" ht="15" customHeight="1" spans="1:8" x14ac:dyDescent="0.25">
      <c r="A29" s="10" t="s">
        <v>15</v>
      </c>
      <c r="B29" s="10" t="str">
        <f>ADW!AR1</f>
        <v>WANASARI RW 03 SUBANG</v>
      </c>
      <c r="C29" s="11">
        <f>ADW!AS6</f>
        <v>13447100</v>
      </c>
      <c r="D29" s="11">
        <f>ADW!AS7</f>
        <v>11873228</v>
      </c>
      <c r="E29" s="11">
        <f>ADW!AS11</f>
        <v>1187322.8</v>
      </c>
      <c r="F29" s="11">
        <f>ADW!AS22</f>
        <v>13060550.8</v>
      </c>
      <c r="G29" s="11">
        <f>ADW!AS23</f>
        <v>386549.199999999</v>
      </c>
      <c r="H29" s="12">
        <f>IF(C29=0,0,G29/C29)</f>
        <v>0.0287459154761993</v>
      </c>
    </row>
    <row r="30" ht="15" customHeight="1" spans="1:8" x14ac:dyDescent="0.25">
      <c r="A30" s="10" t="s">
        <v>15</v>
      </c>
      <c r="B30" s="10" t="str">
        <f>ADW!AT1</f>
        <v>SF DESA WANASARI SUBANG</v>
      </c>
      <c r="C30" s="11">
        <f>ADW!AU6</f>
        <v>42102050</v>
      </c>
      <c r="D30" s="11">
        <f>ADW!AU7</f>
        <v>38000419</v>
      </c>
      <c r="E30" s="11">
        <f>ADW!AU11</f>
        <v>3800041.9</v>
      </c>
      <c r="F30" s="11">
        <f>ADW!AU22</f>
        <v>41800460.9</v>
      </c>
      <c r="G30" s="11">
        <f>ADW!AU23</f>
        <v>301589.100000002</v>
      </c>
      <c r="H30" s="12">
        <f>IF(C30=0,0,G30/C30)</f>
        <v>0.00716328777339824</v>
      </c>
    </row>
    <row r="31" ht="15" customHeight="1" spans="1:8" x14ac:dyDescent="0.25">
      <c r="A31" s="10" t="s">
        <v>15</v>
      </c>
      <c r="B31" s="10" t="str">
        <f>ADW!AV1</f>
        <v>SARIREJA RW 01 SUBANG</v>
      </c>
      <c r="C31" s="11">
        <f>ADW!AW6</f>
        <v>18179400</v>
      </c>
      <c r="D31" s="11">
        <f>ADW!AW7</f>
        <v>16543254</v>
      </c>
      <c r="E31" s="11">
        <f>ADW!AW11</f>
        <v>1654325.4</v>
      </c>
      <c r="F31" s="11">
        <f>ADW!AW22</f>
        <v>18197579.4</v>
      </c>
      <c r="G31" s="11">
        <f>ADW!AW23</f>
        <v>-18179.3999999985</v>
      </c>
      <c r="H31" s="12">
        <f>IF(C31=0,0,G31/C31)</f>
        <v>-0.000999999999999918</v>
      </c>
    </row>
    <row r="32" ht="15" customHeight="1" spans="1:8" x14ac:dyDescent="0.25">
      <c r="A32" s="10" t="s">
        <v>15</v>
      </c>
      <c r="B32" s="10" t="str">
        <f>ADW!AX1</f>
        <v>Distribusi Kel Karangmulyo</v>
      </c>
      <c r="C32" s="11">
        <f>ADW!AY6</f>
        <v>54444550</v>
      </c>
      <c r="D32" s="11">
        <f>ADW!AY7</f>
        <v>50585169</v>
      </c>
      <c r="E32" s="11">
        <f>ADW!AY11</f>
        <v>5058516.9</v>
      </c>
      <c r="F32" s="11">
        <f>ADW!AY22</f>
        <v>55643685.9</v>
      </c>
      <c r="G32" s="11">
        <f>ADW!AY23</f>
        <v>-1199135.9</v>
      </c>
      <c r="H32" s="12">
        <f>IF(C32=0,0,G32/C32)</f>
        <v>-0.0220249024006994</v>
      </c>
    </row>
    <row r="33" ht="15" customHeight="1" spans="1:8" x14ac:dyDescent="0.25">
      <c r="A33" s="10" t="s">
        <v>15</v>
      </c>
      <c r="B33" s="10" t="str">
        <f>ADW!AZ1</f>
        <v>Subfeeder Kel Karangmulyo</v>
      </c>
      <c r="C33" s="11">
        <f>ADW!BA6</f>
        <v>14270900</v>
      </c>
      <c r="D33" s="11">
        <f>ADW!BA7</f>
        <v>13237362</v>
      </c>
      <c r="E33" s="11">
        <f>ADW!BA11</f>
        <v>1323736.2</v>
      </c>
      <c r="F33" s="11">
        <f>ADW!BA22</f>
        <v>14561098.2</v>
      </c>
      <c r="G33" s="11">
        <f>ADW!BA23</f>
        <v>-290198.199999999</v>
      </c>
      <c r="H33" s="12">
        <f>IF(C33=0,0,G33/C33)</f>
        <v>-0.020334961354925</v>
      </c>
    </row>
    <row r="34" ht="15" customHeight="1" spans="1:8" x14ac:dyDescent="0.25">
      <c r="A34" s="10" t="s">
        <v>15</v>
      </c>
      <c r="B34" s="10" t="str">
        <f>ADW!BB1</f>
        <v>PULLING DISTRIBUSI KELURAHAN TEGALAREN PURWOREJ</v>
      </c>
      <c r="C34" s="11">
        <f>ADW!BC6</f>
        <v>22049500</v>
      </c>
      <c r="D34" s="11">
        <f>ADW!BC7</f>
        <v>20000690</v>
      </c>
      <c r="E34" s="11">
        <f>ADW!BC11</f>
        <v>2000069</v>
      </c>
      <c r="F34" s="11">
        <f>ADW!BC22</f>
        <v>22000759</v>
      </c>
      <c r="G34" s="11">
        <f>ADW!BC23</f>
        <v>48741</v>
      </c>
      <c r="H34" s="12">
        <f>IF(C34=0,0,G34/C34)</f>
        <v>0.00221052631578947</v>
      </c>
    </row>
    <row r="35" ht="15" customHeight="1" spans="1:8" x14ac:dyDescent="0.25">
      <c r="A35" s="10" t="s">
        <v>15</v>
      </c>
      <c r="B35" s="10" t="str">
        <f>ADW!BD1</f>
        <v>Distribusi Kel Tegalaren</v>
      </c>
      <c r="C35" s="11">
        <f>ADW!BE6</f>
        <v>777050</v>
      </c>
      <c r="D35" s="11">
        <f>ADW!BE7</f>
        <v>500451</v>
      </c>
      <c r="E35" s="11">
        <f>ADW!BE11</f>
        <v>50045.1</v>
      </c>
      <c r="F35" s="11">
        <f>ADW!BE22</f>
        <v>550496.1</v>
      </c>
      <c r="G35" s="11">
        <f>ADW!BE23</f>
        <v>226553.9</v>
      </c>
      <c r="H35" s="12">
        <f>IF(C35=0,0,G35/C35)</f>
        <v>0.291556399202111</v>
      </c>
    </row>
    <row r="36" ht="15" customHeight="1" spans="1:8" x14ac:dyDescent="0.25">
      <c r="A36" s="10" t="s">
        <v>15</v>
      </c>
      <c r="B36" s="10" t="str">
        <f>ADW!BF1</f>
        <v>PULLING DISTRIBUSI KELURAHAN WINGKOHARJO PURWOREJO</v>
      </c>
      <c r="C36" s="11">
        <f>ADW!BG6</f>
        <v>19543250</v>
      </c>
      <c r="D36" s="11">
        <f>ADW!BG7</f>
        <v>17369185</v>
      </c>
      <c r="E36" s="11">
        <f>ADW!BG11</f>
        <v>1736918.5</v>
      </c>
      <c r="F36" s="11">
        <f>ADW!BG22</f>
        <v>19106103.5</v>
      </c>
      <c r="G36" s="11">
        <f>ADW!BG23</f>
        <v>437146.5</v>
      </c>
      <c r="H36" s="12">
        <f>IF(C36=0,0,G36/C36)</f>
        <v>0.0223681578038453</v>
      </c>
    </row>
    <row r="37" ht="15" customHeight="1" spans="1:8" x14ac:dyDescent="0.25">
      <c r="A37" s="10" t="s">
        <v>15</v>
      </c>
      <c r="B37" s="10" t="str">
        <f>ADW!BH1</f>
        <v>PULLING SUBFEEDER KELURAHAN WINGKOHARJO PURWOREJO</v>
      </c>
      <c r="C37" s="11">
        <f>ADW!BI6</f>
        <v>13928900</v>
      </c>
      <c r="D37" s="11">
        <f>ADW!BI7</f>
        <v>11751585.5</v>
      </c>
      <c r="E37" s="11">
        <f>ADW!BI11</f>
        <v>1175158.55</v>
      </c>
      <c r="F37" s="11">
        <f>ADW!BI22</f>
        <v>12926744.05</v>
      </c>
      <c r="G37" s="11">
        <f>ADW!BI23</f>
        <v>1002155.95</v>
      </c>
      <c r="H37" s="12">
        <f>IF(C37=0,0,G37/C37)</f>
        <v>0.0719479607147728</v>
      </c>
    </row>
    <row r="38" ht="15" customHeight="1" spans="1:8" x14ac:dyDescent="0.25">
      <c r="A38" s="10" t="s">
        <v>15</v>
      </c>
      <c r="B38" s="10" t="str">
        <f>ADW!BJ1</f>
        <v>SF SARIREJA RW 01 SUBANG</v>
      </c>
      <c r="C38" s="11">
        <f>ADW!BK6</f>
        <v>7754200</v>
      </c>
      <c r="D38" s="11">
        <f>ADW!BK7</f>
        <v>7056322</v>
      </c>
      <c r="E38" s="11">
        <f>ADW!BK11</f>
        <v>705632.2</v>
      </c>
      <c r="F38" s="11">
        <f>ADW!BK22</f>
        <v>7761954.2</v>
      </c>
      <c r="G38" s="11">
        <f>ADW!BK23</f>
        <v>-7754.20000000019</v>
      </c>
      <c r="H38" s="12">
        <f>IF(C38=0,0,G38/C38)</f>
        <v>-0.00100000000000002</v>
      </c>
    </row>
    <row r="40" ht="15" customHeight="1" spans="1:8" x14ac:dyDescent="0.25">
      <c r="A40" s="7" t="s">
        <v>16</v>
      </c>
      <c r="B40" s="7" t="str">
        <f>EVANTAMA!B1</f>
        <v>TOTAL EVANTAMA</v>
      </c>
      <c r="C40" s="8">
        <f>EVANTAMA!C6</f>
        <v>236454823</v>
      </c>
      <c r="D40" s="8">
        <f>EVANTAMA!C7</f>
        <v>226558117.6395</v>
      </c>
      <c r="E40" s="8">
        <f>EVANTAMA!C11</f>
        <v>22655811.76395</v>
      </c>
      <c r="F40" s="8">
        <f>EVANTAMA!C22</f>
        <v>249213929.40345</v>
      </c>
      <c r="G40" s="8">
        <f>EVANTAMA!C23</f>
        <v>-12759106.40345</v>
      </c>
      <c r="H40" s="9">
        <f>IF(C40=0,0,G40/C40)</f>
        <v>-0.0539600175694028</v>
      </c>
    </row>
    <row r="41" ht="15" customHeight="1" spans="1:8" x14ac:dyDescent="0.25">
      <c r="A41" s="10" t="s">
        <v>16</v>
      </c>
      <c r="B41" s="10" t="str">
        <f>EVANTAMA!D1</f>
        <v>Cluster Sinagar Tasik</v>
      </c>
      <c r="C41" s="11">
        <f>EVANTAMA!E6</f>
        <v>145940677</v>
      </c>
      <c r="D41" s="11">
        <f>EVANTAMA!E7</f>
        <v>139362083.5405</v>
      </c>
      <c r="E41" s="11">
        <f>EVANTAMA!E11</f>
        <v>13936208.35405</v>
      </c>
      <c r="F41" s="11">
        <f>EVANTAMA!E22</f>
        <v>153298291.89455</v>
      </c>
      <c r="G41" s="11">
        <f>EVANTAMA!E23</f>
        <v>-7357614.89455003</v>
      </c>
      <c r="H41" s="12">
        <f>IF(C41=0,0,G41/C41)</f>
        <v>-0.0504151073285074</v>
      </c>
    </row>
    <row r="42" ht="15" customHeight="1" spans="1:8" x14ac:dyDescent="0.25">
      <c r="A42" s="10" t="s">
        <v>16</v>
      </c>
      <c r="B42" s="10" t="str">
        <f>EVANTAMA!F1</f>
        <v>Cluster Kersanagara RW 08 Tasik</v>
      </c>
      <c r="C42" s="11">
        <f>EVANTAMA!G6</f>
        <v>43882758</v>
      </c>
      <c r="D42" s="11">
        <f>EVANTAMA!G7</f>
        <v>43366384.727</v>
      </c>
      <c r="E42" s="11">
        <f>EVANTAMA!G11</f>
        <v>4336638.4727</v>
      </c>
      <c r="F42" s="11">
        <f>EVANTAMA!G22</f>
        <v>47703023.1997</v>
      </c>
      <c r="G42" s="11">
        <f>EVANTAMA!G23</f>
        <v>-3820265.1997</v>
      </c>
      <c r="H42" s="12">
        <f>IF(C42=0,0,G42/C42)</f>
        <v>-0.087056178185063</v>
      </c>
    </row>
    <row r="43" ht="15" customHeight="1" spans="1:8" x14ac:dyDescent="0.25">
      <c r="A43" s="10" t="s">
        <v>16</v>
      </c>
      <c r="B43" s="10" t="str">
        <f>EVANTAMA!H1</f>
        <v>Cluster Kersanagara RW 04 Tasik</v>
      </c>
      <c r="C43" s="11">
        <f>EVANTAMA!I6</f>
        <v>46631388</v>
      </c>
      <c r="D43" s="11">
        <f>EVANTAMA!I7</f>
        <v>43829649.372</v>
      </c>
      <c r="E43" s="11">
        <f>EVANTAMA!I11</f>
        <v>4382964.9372</v>
      </c>
      <c r="F43" s="11">
        <f>EVANTAMA!I22</f>
        <v>48212614.3092</v>
      </c>
      <c r="G43" s="11">
        <f>EVANTAMA!I23</f>
        <v>-1581226.3092</v>
      </c>
      <c r="H43" s="12">
        <f>IF(C43=0,0,G43/C43)</f>
        <v>-0.0339090551883209</v>
      </c>
    </row>
    <row r="45" ht="15" customHeight="1" spans="1:8" x14ac:dyDescent="0.25">
      <c r="A45" s="7" t="s">
        <v>17</v>
      </c>
      <c r="B45" s="7" t="str">
        <f>CCSI!B1</f>
        <v>TOTAL CCSI</v>
      </c>
      <c r="C45" s="8">
        <f>CCSI!C6</f>
        <v>136073359</v>
      </c>
      <c r="D45" s="8">
        <f>CCSI!C7</f>
        <v>125404829.1</v>
      </c>
      <c r="E45" s="8">
        <f>CCSI!C11</f>
        <v>12540482.91</v>
      </c>
      <c r="F45" s="8">
        <f>CCSI!C22</f>
        <v>137945312.01</v>
      </c>
      <c r="G45" s="8">
        <f>CCSI!C23</f>
        <v>-1871953.00999999</v>
      </c>
      <c r="H45" s="9">
        <f>IF(C45=0,0,G45/C45)</f>
        <v>-0.0137569398136191</v>
      </c>
    </row>
    <row r="46" ht="15" customHeight="1" spans="1:8" x14ac:dyDescent="0.25">
      <c r="A46" s="10" t="s">
        <v>17</v>
      </c>
      <c r="B46" s="10" t="str">
        <f>CCSI!D1</f>
        <v>Kalawiran Kakas Barat (Manado)</v>
      </c>
      <c r="C46" s="11">
        <f>CCSI!E6</f>
        <v>54419896</v>
      </c>
      <c r="D46" s="11">
        <f>CCSI!E7</f>
        <v>52754832.4607044</v>
      </c>
      <c r="E46" s="11">
        <f>CCSI!E11</f>
        <v>5275483.24607044</v>
      </c>
      <c r="F46" s="11">
        <f>CCSI!E22</f>
        <v>58030315.7067749</v>
      </c>
      <c r="G46" s="11">
        <f>CCSI!E23</f>
        <v>-3610419.70677487</v>
      </c>
      <c r="H46" s="12">
        <f>IF(C46=0,0,G46/C46)</f>
        <v>-0.0663437450665997</v>
      </c>
    </row>
    <row r="47" ht="15" customHeight="1" spans="1:8" x14ac:dyDescent="0.25">
      <c r="A47" s="10" t="s">
        <v>17</v>
      </c>
      <c r="B47" s="10" t="str">
        <f>CCSI!F1</f>
        <v>Karondoran Langowan Timur (Manado)</v>
      </c>
      <c r="C47" s="11">
        <f>CCSI!G6</f>
        <v>38112632</v>
      </c>
      <c r="D47" s="11">
        <f>CCSI!G7</f>
        <v>36946515.2192956</v>
      </c>
      <c r="E47" s="11">
        <f>CCSI!G11</f>
        <v>3694651.52192956</v>
      </c>
      <c r="F47" s="11">
        <f>CCSI!G22</f>
        <v>40641166.7412251</v>
      </c>
      <c r="G47" s="11">
        <f>CCSI!G23</f>
        <v>-2528534.74122512</v>
      </c>
      <c r="H47" s="12">
        <f>IF(C47=0,0,G47/C47)</f>
        <v>-0.0663437450665995</v>
      </c>
    </row>
    <row r="48" ht="15" customHeight="1" spans="1:8" x14ac:dyDescent="0.25">
      <c r="A48" s="10" t="s">
        <v>17</v>
      </c>
      <c r="B48" s="10" t="str">
        <f>CCSI!H1</f>
        <v>Padangsari RW 12 &amp; 13 (Semarang)</v>
      </c>
      <c r="C48" s="11">
        <f>CCSI!I6</f>
        <v>43540831</v>
      </c>
      <c r="D48" s="11">
        <f>CCSI!I7</f>
        <v>35703481.42</v>
      </c>
      <c r="E48" s="11">
        <f>CCSI!I11</f>
        <v>3570348.142</v>
      </c>
      <c r="F48" s="11">
        <f>CCSI!I22</f>
        <v>39273829.562</v>
      </c>
      <c r="G48" s="11">
        <f>CCSI!I23</f>
        <v>4267001.438</v>
      </c>
      <c r="H48" s="12">
        <f>IF(C48=0,0,G48/C48)</f>
        <v>0.098</v>
      </c>
    </row>
    <row r="51" ht="15" customHeight="1" spans="1:1" x14ac:dyDescent="0.25">
      <c r="A51" s="4" t="s">
        <v>18</v>
      </c>
    </row>
  </sheetData>
  <conditionalFormatting sqref="G8:H50">
    <cfRule type="cellIs" dxfId="0" priority="2" operator="lessThan">
      <formula>0</formula>
    </cfRule>
  </conditionalFormatting>
  <dataValidations count="1">
    <dataValidation type="list" errorStyle="stop" sqref="C5">
      <formula1>"Ya,Tidak"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29"/>
  <sheetViews>
    <sheetView workbookViewId="0" zoomScale="100" zoomScaleNormal="100" view="normal">
      <pane xSplit="3" ySplit="3" topLeftCell="D4" activePane="bottomRight" state="frozen"/>
      <selection pane="bottomRight" activeCell="A1" sqref="A1"/>
    </sheetView>
  </sheetViews>
  <sheetFormatPr defaultRowHeight="15" outlineLevelRow="0" outlineLevelCol="0" x14ac:dyDescent="0" defaultColWidth="8.6796875"/>
  <cols>
    <col min="1" max="1" width="40" customWidth="1"/>
    <col min="3" max="3" width="17" customWidth="1"/>
    <col min="5" max="5" width="17" customWidth="1"/>
    <col min="7" max="7" width="17" customWidth="1"/>
    <col min="9" max="9" width="17" customWidth="1"/>
    <col min="11" max="11" width="17" customWidth="1"/>
    <col min="13" max="13" width="17" customWidth="1"/>
    <col min="15" max="15" width="17" customWidth="1"/>
    <col min="17" max="17" width="17" customWidth="1"/>
    <col min="19" max="19" width="17" customWidth="1"/>
    <col min="21" max="21" width="17" customWidth="1"/>
    <col min="23" max="23" width="17" customWidth="1"/>
    <col min="25" max="25" width="17" customWidth="1"/>
    <col min="27" max="27" width="17" customWidth="1"/>
    <col min="29" max="29" width="17" customWidth="1"/>
    <col min="31" max="31" width="17" customWidth="1"/>
    <col min="33" max="33" width="17" customWidth="1"/>
    <col min="35" max="35" width="17" customWidth="1"/>
    <col min="37" max="37" width="17" customWidth="1"/>
    <col min="39" max="39" width="17" customWidth="1"/>
    <col min="41" max="41" width="17" customWidth="1"/>
    <col min="43" max="43" width="17" customWidth="1"/>
    <col min="45" max="45" width="17" customWidth="1"/>
    <col min="47" max="47" width="17" customWidth="1"/>
    <col min="49" max="49" width="17" customWidth="1"/>
    <col min="51" max="51" width="17" customWidth="1"/>
    <col min="53" max="53" width="17" customWidth="1"/>
    <col min="55" max="55" width="17" customWidth="1"/>
    <col min="57" max="57" width="17" customWidth="1"/>
    <col min="59" max="59" width="17" customWidth="1"/>
    <col min="61" max="61" width="17" customWidth="1"/>
    <col min="63" max="63" width="17" customWidth="1"/>
  </cols>
  <sheetData>
    <row r="1" ht="31.5" customHeight="1" spans="1:63" x14ac:dyDescent="0.25">
      <c r="A1" s="13" t="s">
        <v>19</v>
      </c>
      <c r="B1" s="14" t="s">
        <v>20</v>
      </c>
      <c r="C1" s="14"/>
      <c r="D1" s="14" t="s">
        <v>21</v>
      </c>
      <c r="E1" s="14"/>
      <c r="F1" s="14" t="s">
        <v>22</v>
      </c>
      <c r="G1" s="14"/>
      <c r="H1" s="14" t="s">
        <v>23</v>
      </c>
      <c r="I1" s="14"/>
      <c r="J1" s="14" t="s">
        <v>24</v>
      </c>
      <c r="K1" s="14"/>
      <c r="L1" s="14" t="s">
        <v>25</v>
      </c>
      <c r="M1" s="14"/>
      <c r="N1" s="14" t="s">
        <v>26</v>
      </c>
      <c r="O1" s="14"/>
      <c r="P1" s="14" t="s">
        <v>27</v>
      </c>
      <c r="Q1" s="14"/>
      <c r="R1" s="14" t="s">
        <v>28</v>
      </c>
      <c r="S1" s="14"/>
      <c r="T1" s="14" t="s">
        <v>29</v>
      </c>
      <c r="U1" s="14"/>
      <c r="V1" s="14" t="s">
        <v>30</v>
      </c>
      <c r="W1" s="14"/>
      <c r="X1" s="14" t="s">
        <v>31</v>
      </c>
      <c r="Y1" s="14"/>
      <c r="Z1" s="14" t="s">
        <v>32</v>
      </c>
      <c r="AA1" s="14"/>
      <c r="AB1" s="14" t="s">
        <v>33</v>
      </c>
      <c r="AC1" s="14"/>
      <c r="AD1" s="14" t="s">
        <v>34</v>
      </c>
      <c r="AE1" s="14"/>
      <c r="AF1" s="14" t="s">
        <v>35</v>
      </c>
      <c r="AG1" s="14"/>
      <c r="AH1" s="14" t="s">
        <v>36</v>
      </c>
      <c r="AI1" s="14"/>
      <c r="AJ1" s="14" t="s">
        <v>37</v>
      </c>
      <c r="AK1" s="14"/>
      <c r="AL1" s="14" t="s">
        <v>38</v>
      </c>
      <c r="AM1" s="14"/>
      <c r="AN1" s="14" t="s">
        <v>39</v>
      </c>
      <c r="AO1" s="14"/>
      <c r="AP1" s="14" t="s">
        <v>40</v>
      </c>
      <c r="AQ1" s="14"/>
      <c r="AR1" s="14" t="s">
        <v>41</v>
      </c>
      <c r="AS1" s="14"/>
      <c r="AT1" s="14" t="s">
        <v>42</v>
      </c>
      <c r="AU1" s="14"/>
      <c r="AV1" s="14" t="s">
        <v>43</v>
      </c>
      <c r="AW1" s="14"/>
      <c r="AX1" s="14" t="s">
        <v>44</v>
      </c>
      <c r="AY1" s="14"/>
      <c r="AZ1" s="14" t="s">
        <v>45</v>
      </c>
      <c r="BA1" s="14"/>
      <c r="BB1" s="14" t="s">
        <v>46</v>
      </c>
      <c r="BC1" s="14"/>
      <c r="BD1" s="14" t="s">
        <v>47</v>
      </c>
      <c r="BE1" s="14"/>
      <c r="BF1" s="14" t="s">
        <v>48</v>
      </c>
      <c r="BG1" s="14"/>
      <c r="BH1" s="14" t="s">
        <v>49</v>
      </c>
      <c r="BI1" s="14"/>
      <c r="BJ1" s="14" t="s">
        <v>50</v>
      </c>
      <c r="BK1" s="14"/>
    </row>
    <row r="2" ht="48" customHeight="1" spans="1:63" x14ac:dyDescent="0.25">
      <c r="A2" s="13"/>
      <c r="B2" s="15"/>
      <c r="C2" s="15"/>
      <c r="D2" s="15" t="s">
        <v>51</v>
      </c>
      <c r="E2" s="15"/>
      <c r="F2" s="15" t="s">
        <v>52</v>
      </c>
      <c r="G2" s="15"/>
      <c r="H2" s="15" t="s">
        <v>53</v>
      </c>
      <c r="I2" s="15"/>
      <c r="J2" s="15" t="s">
        <v>54</v>
      </c>
      <c r="K2" s="15"/>
      <c r="L2" s="15" t="s">
        <v>55</v>
      </c>
      <c r="M2" s="15"/>
      <c r="N2" s="15" t="s">
        <v>56</v>
      </c>
      <c r="O2" s="15"/>
      <c r="P2" s="15" t="s">
        <v>57</v>
      </c>
      <c r="Q2" s="15"/>
      <c r="R2" s="15" t="s">
        <v>58</v>
      </c>
      <c r="S2" s="15"/>
      <c r="T2" s="15" t="s">
        <v>59</v>
      </c>
      <c r="U2" s="15"/>
      <c r="V2" s="15" t="s">
        <v>60</v>
      </c>
      <c r="W2" s="15"/>
      <c r="X2" s="15" t="s">
        <v>61</v>
      </c>
      <c r="Y2" s="15"/>
      <c r="Z2" s="15" t="s">
        <v>62</v>
      </c>
      <c r="AA2" s="15"/>
      <c r="AB2" s="15" t="s">
        <v>63</v>
      </c>
      <c r="AC2" s="15"/>
      <c r="AD2" s="15" t="s">
        <v>64</v>
      </c>
      <c r="AE2" s="15"/>
      <c r="AF2" s="15" t="s">
        <v>65</v>
      </c>
      <c r="AG2" s="15"/>
      <c r="AH2" s="15" t="s">
        <v>66</v>
      </c>
      <c r="AI2" s="15"/>
      <c r="AJ2" s="15" t="s">
        <v>67</v>
      </c>
      <c r="AK2" s="15"/>
      <c r="AL2" s="15" t="s">
        <v>68</v>
      </c>
      <c r="AM2" s="15"/>
      <c r="AN2" s="15" t="s">
        <v>69</v>
      </c>
      <c r="AO2" s="15"/>
      <c r="AP2" s="15" t="s">
        <v>70</v>
      </c>
      <c r="AQ2" s="15"/>
      <c r="AR2" s="15" t="s">
        <v>71</v>
      </c>
      <c r="AS2" s="15"/>
      <c r="AT2" s="15" t="s">
        <v>72</v>
      </c>
      <c r="AU2" s="15"/>
      <c r="AV2" s="15" t="s">
        <v>73</v>
      </c>
      <c r="AW2" s="15"/>
      <c r="AX2" s="15" t="s">
        <v>74</v>
      </c>
      <c r="AY2" s="15"/>
      <c r="AZ2" s="15" t="s">
        <v>75</v>
      </c>
      <c r="BA2" s="15"/>
      <c r="BB2" s="15" t="s">
        <v>76</v>
      </c>
      <c r="BC2" s="15"/>
      <c r="BD2" s="15" t="s">
        <v>77</v>
      </c>
      <c r="BE2" s="15"/>
      <c r="BF2" s="15" t="s">
        <v>78</v>
      </c>
      <c r="BG2" s="15"/>
      <c r="BH2" s="15" t="s">
        <v>79</v>
      </c>
      <c r="BI2" s="15"/>
      <c r="BJ2" s="15" t="s">
        <v>80</v>
      </c>
      <c r="BK2" s="15"/>
    </row>
    <row r="3" ht="15" customHeight="1" spans="1:63" x14ac:dyDescent="0.25">
      <c r="A3" s="13"/>
      <c r="B3" s="6" t="s">
        <v>81</v>
      </c>
      <c r="C3" s="6" t="s">
        <v>82</v>
      </c>
      <c r="D3" s="6" t="s">
        <v>81</v>
      </c>
      <c r="E3" s="6" t="s">
        <v>82</v>
      </c>
      <c r="F3" s="6" t="s">
        <v>81</v>
      </c>
      <c r="G3" s="6" t="s">
        <v>82</v>
      </c>
      <c r="H3" s="6" t="s">
        <v>81</v>
      </c>
      <c r="I3" s="6" t="s">
        <v>82</v>
      </c>
      <c r="J3" s="6" t="s">
        <v>81</v>
      </c>
      <c r="K3" s="6" t="s">
        <v>82</v>
      </c>
      <c r="L3" s="6" t="s">
        <v>81</v>
      </c>
      <c r="M3" s="6" t="s">
        <v>82</v>
      </c>
      <c r="N3" s="6" t="s">
        <v>81</v>
      </c>
      <c r="O3" s="6" t="s">
        <v>82</v>
      </c>
      <c r="P3" s="6" t="s">
        <v>81</v>
      </c>
      <c r="Q3" s="6" t="s">
        <v>82</v>
      </c>
      <c r="R3" s="6" t="s">
        <v>81</v>
      </c>
      <c r="S3" s="6" t="s">
        <v>82</v>
      </c>
      <c r="T3" s="6" t="s">
        <v>81</v>
      </c>
      <c r="U3" s="6" t="s">
        <v>82</v>
      </c>
      <c r="V3" s="6" t="s">
        <v>81</v>
      </c>
      <c r="W3" s="6" t="s">
        <v>82</v>
      </c>
      <c r="X3" s="6" t="s">
        <v>81</v>
      </c>
      <c r="Y3" s="6" t="s">
        <v>82</v>
      </c>
      <c r="Z3" s="6" t="s">
        <v>81</v>
      </c>
      <c r="AA3" s="6" t="s">
        <v>82</v>
      </c>
      <c r="AB3" s="6" t="s">
        <v>81</v>
      </c>
      <c r="AC3" s="6" t="s">
        <v>82</v>
      </c>
      <c r="AD3" s="6" t="s">
        <v>81</v>
      </c>
      <c r="AE3" s="6" t="s">
        <v>82</v>
      </c>
      <c r="AF3" s="6" t="s">
        <v>81</v>
      </c>
      <c r="AG3" s="6" t="s">
        <v>82</v>
      </c>
      <c r="AH3" s="6" t="s">
        <v>81</v>
      </c>
      <c r="AI3" s="6" t="s">
        <v>82</v>
      </c>
      <c r="AJ3" s="6" t="s">
        <v>81</v>
      </c>
      <c r="AK3" s="6" t="s">
        <v>82</v>
      </c>
      <c r="AL3" s="6" t="s">
        <v>81</v>
      </c>
      <c r="AM3" s="6" t="s">
        <v>82</v>
      </c>
      <c r="AN3" s="6" t="s">
        <v>81</v>
      </c>
      <c r="AO3" s="6" t="s">
        <v>82</v>
      </c>
      <c r="AP3" s="6" t="s">
        <v>81</v>
      </c>
      <c r="AQ3" s="6" t="s">
        <v>82</v>
      </c>
      <c r="AR3" s="6" t="s">
        <v>81</v>
      </c>
      <c r="AS3" s="6" t="s">
        <v>82</v>
      </c>
      <c r="AT3" s="6" t="s">
        <v>81</v>
      </c>
      <c r="AU3" s="6" t="s">
        <v>82</v>
      </c>
      <c r="AV3" s="6" t="s">
        <v>81</v>
      </c>
      <c r="AW3" s="6" t="s">
        <v>82</v>
      </c>
      <c r="AX3" s="6" t="s">
        <v>81</v>
      </c>
      <c r="AY3" s="6" t="s">
        <v>82</v>
      </c>
      <c r="AZ3" s="6" t="s">
        <v>81</v>
      </c>
      <c r="BA3" s="6" t="s">
        <v>82</v>
      </c>
      <c r="BB3" s="6" t="s">
        <v>81</v>
      </c>
      <c r="BC3" s="6" t="s">
        <v>82</v>
      </c>
      <c r="BD3" s="6" t="s">
        <v>81</v>
      </c>
      <c r="BE3" s="6" t="s">
        <v>82</v>
      </c>
      <c r="BF3" s="6" t="s">
        <v>81</v>
      </c>
      <c r="BG3" s="6" t="s">
        <v>82</v>
      </c>
      <c r="BH3" s="6" t="s">
        <v>81</v>
      </c>
      <c r="BI3" s="6" t="s">
        <v>82</v>
      </c>
      <c r="BJ3" s="6" t="s">
        <v>81</v>
      </c>
      <c r="BK3" s="6" t="s">
        <v>82</v>
      </c>
    </row>
    <row r="4" ht="18" customHeight="1" spans="1:63" x14ac:dyDescent="0.25">
      <c r="A4" s="16" t="s">
        <v>83</v>
      </c>
      <c r="B4" s="17"/>
      <c r="C4" s="18">
        <f>SUMIF($D$3:$BK$3,"Rp",$D4:$BK4)</f>
        <v>716165700</v>
      </c>
      <c r="D4" s="19"/>
      <c r="E4" s="20">
        <v>44741500</v>
      </c>
      <c r="F4" s="19"/>
      <c r="G4" s="20">
        <v>94550250</v>
      </c>
      <c r="H4" s="19"/>
      <c r="I4" s="20">
        <v>25079800</v>
      </c>
      <c r="J4" s="19"/>
      <c r="K4" s="20">
        <v>11247650</v>
      </c>
      <c r="L4" s="19"/>
      <c r="M4" s="20">
        <v>17181250</v>
      </c>
      <c r="N4" s="19"/>
      <c r="O4" s="20">
        <v>17894900</v>
      </c>
      <c r="P4" s="19"/>
      <c r="Q4" s="20">
        <v>11563600</v>
      </c>
      <c r="R4" s="19"/>
      <c r="S4" s="20">
        <v>20021000</v>
      </c>
      <c r="T4" s="19"/>
      <c r="U4" s="20">
        <v>33655100</v>
      </c>
      <c r="V4" s="19"/>
      <c r="W4" s="20">
        <v>10727300</v>
      </c>
      <c r="X4" s="19"/>
      <c r="Y4" s="20">
        <v>43362200</v>
      </c>
      <c r="Z4" s="19"/>
      <c r="AA4" s="20">
        <v>18878200</v>
      </c>
      <c r="AB4" s="19"/>
      <c r="AC4" s="20">
        <v>16318600</v>
      </c>
      <c r="AD4" s="19"/>
      <c r="AE4" s="20">
        <v>18945600</v>
      </c>
      <c r="AF4" s="19"/>
      <c r="AG4" s="20">
        <v>19128450</v>
      </c>
      <c r="AH4" s="19"/>
      <c r="AI4" s="20">
        <v>16581600</v>
      </c>
      <c r="AJ4" s="19"/>
      <c r="AK4" s="20">
        <v>34125800</v>
      </c>
      <c r="AL4" s="19"/>
      <c r="AM4" s="20">
        <v>32275850</v>
      </c>
      <c r="AN4" s="19"/>
      <c r="AO4" s="20">
        <v>9440850</v>
      </c>
      <c r="AP4" s="19"/>
      <c r="AQ4" s="20">
        <v>13949300</v>
      </c>
      <c r="AR4" s="19"/>
      <c r="AS4" s="20">
        <v>13447100</v>
      </c>
      <c r="AT4" s="19"/>
      <c r="AU4" s="20">
        <v>42102050</v>
      </c>
      <c r="AV4" s="19"/>
      <c r="AW4" s="20">
        <v>18179400</v>
      </c>
      <c r="AX4" s="19"/>
      <c r="AY4" s="20">
        <v>54444550</v>
      </c>
      <c r="AZ4" s="19"/>
      <c r="BA4" s="20">
        <v>14270900</v>
      </c>
      <c r="BB4" s="19"/>
      <c r="BC4" s="20">
        <v>22049500</v>
      </c>
      <c r="BD4" s="19"/>
      <c r="BE4" s="20">
        <v>777050</v>
      </c>
      <c r="BF4" s="19"/>
      <c r="BG4" s="20">
        <v>19543250</v>
      </c>
      <c r="BH4" s="19"/>
      <c r="BI4" s="20">
        <v>13928900</v>
      </c>
      <c r="BJ4" s="19"/>
      <c r="BK4" s="20">
        <v>7754200</v>
      </c>
    </row>
    <row r="5" ht="18" customHeight="1" spans="1:63" x14ac:dyDescent="0.25">
      <c r="A5" s="16" t="s">
        <v>84</v>
      </c>
      <c r="B5" s="17"/>
      <c r="C5" s="18">
        <f>SUMIF($D$3:$BK$3,"Rp",$D5:$BK5)</f>
        <v>0</v>
      </c>
      <c r="D5" s="19"/>
      <c r="E5" s="20">
        <v>0</v>
      </c>
      <c r="F5" s="19"/>
      <c r="G5" s="20">
        <v>0</v>
      </c>
      <c r="H5" s="19"/>
      <c r="I5" s="20">
        <v>0</v>
      </c>
      <c r="J5" s="19"/>
      <c r="K5" s="20">
        <v>0</v>
      </c>
      <c r="L5" s="19"/>
      <c r="M5" s="20">
        <v>0</v>
      </c>
      <c r="N5" s="19"/>
      <c r="O5" s="20">
        <v>0</v>
      </c>
      <c r="P5" s="19"/>
      <c r="Q5" s="20">
        <v>0</v>
      </c>
      <c r="R5" s="19"/>
      <c r="S5" s="20">
        <v>0</v>
      </c>
      <c r="T5" s="19"/>
      <c r="U5" s="20">
        <v>0</v>
      </c>
      <c r="V5" s="19"/>
      <c r="W5" s="20">
        <v>0</v>
      </c>
      <c r="X5" s="19"/>
      <c r="Y5" s="20">
        <v>0</v>
      </c>
      <c r="Z5" s="19"/>
      <c r="AA5" s="20">
        <v>0</v>
      </c>
      <c r="AB5" s="19"/>
      <c r="AC5" s="20">
        <v>0</v>
      </c>
      <c r="AD5" s="19"/>
      <c r="AE5" s="20">
        <v>0</v>
      </c>
      <c r="AF5" s="19"/>
      <c r="AG5" s="20">
        <v>0</v>
      </c>
      <c r="AH5" s="19"/>
      <c r="AI5" s="20">
        <v>0</v>
      </c>
      <c r="AJ5" s="19"/>
      <c r="AK5" s="20">
        <v>0</v>
      </c>
      <c r="AL5" s="19"/>
      <c r="AM5" s="20">
        <v>0</v>
      </c>
      <c r="AN5" s="19"/>
      <c r="AO5" s="20">
        <v>0</v>
      </c>
      <c r="AP5" s="19"/>
      <c r="AQ5" s="20">
        <v>0</v>
      </c>
      <c r="AR5" s="19"/>
      <c r="AS5" s="20">
        <v>0</v>
      </c>
      <c r="AT5" s="19"/>
      <c r="AU5" s="20">
        <v>0</v>
      </c>
      <c r="AV5" s="19"/>
      <c r="AW5" s="20">
        <v>0</v>
      </c>
      <c r="AX5" s="19"/>
      <c r="AY5" s="20">
        <v>0</v>
      </c>
      <c r="AZ5" s="19"/>
      <c r="BA5" s="20">
        <v>0</v>
      </c>
      <c r="BB5" s="19"/>
      <c r="BC5" s="20">
        <v>0</v>
      </c>
      <c r="BD5" s="19"/>
      <c r="BE5" s="20">
        <v>0</v>
      </c>
      <c r="BF5" s="19"/>
      <c r="BG5" s="20">
        <v>0</v>
      </c>
      <c r="BH5" s="19"/>
      <c r="BI5" s="20">
        <v>0</v>
      </c>
      <c r="BJ5" s="19"/>
      <c r="BK5" s="20">
        <v>0</v>
      </c>
    </row>
    <row r="6" ht="18" customHeight="1" spans="1:63" x14ac:dyDescent="0.25">
      <c r="A6" s="21" t="s">
        <v>9</v>
      </c>
      <c r="B6" s="17"/>
      <c r="C6" s="18">
        <f>SUMIF($D$3:$BK$3,"Rp",$D6:$BK6)</f>
        <v>716165700</v>
      </c>
      <c r="D6" s="19"/>
      <c r="E6" s="18">
        <f>E4+E5</f>
        <v>44741500</v>
      </c>
      <c r="F6" s="19"/>
      <c r="G6" s="18">
        <f>G4+G5</f>
        <v>94550250</v>
      </c>
      <c r="H6" s="19"/>
      <c r="I6" s="18">
        <f>I4+I5</f>
        <v>25079800</v>
      </c>
      <c r="J6" s="19"/>
      <c r="K6" s="18">
        <f>K4+K5</f>
        <v>11247650</v>
      </c>
      <c r="L6" s="19"/>
      <c r="M6" s="18">
        <f>M4+M5</f>
        <v>17181250</v>
      </c>
      <c r="N6" s="19"/>
      <c r="O6" s="18">
        <f>O4+O5</f>
        <v>17894900</v>
      </c>
      <c r="P6" s="19"/>
      <c r="Q6" s="18">
        <f>Q4+Q5</f>
        <v>11563600</v>
      </c>
      <c r="R6" s="19"/>
      <c r="S6" s="18">
        <f>S4+S5</f>
        <v>20021000</v>
      </c>
      <c r="T6" s="19"/>
      <c r="U6" s="18">
        <f>U4+U5</f>
        <v>33655100</v>
      </c>
      <c r="V6" s="19"/>
      <c r="W6" s="18">
        <f>W4+W5</f>
        <v>10727300</v>
      </c>
      <c r="X6" s="19"/>
      <c r="Y6" s="18">
        <f>Y4+Y5</f>
        <v>43362200</v>
      </c>
      <c r="Z6" s="19"/>
      <c r="AA6" s="18">
        <f>AA4+AA5</f>
        <v>18878200</v>
      </c>
      <c r="AB6" s="19"/>
      <c r="AC6" s="18">
        <f>AC4+AC5</f>
        <v>16318600</v>
      </c>
      <c r="AD6" s="19"/>
      <c r="AE6" s="18">
        <f>AE4+AE5</f>
        <v>18945600</v>
      </c>
      <c r="AF6" s="19"/>
      <c r="AG6" s="18">
        <f>AG4+AG5</f>
        <v>19128450</v>
      </c>
      <c r="AH6" s="19"/>
      <c r="AI6" s="18">
        <f>AI4+AI5</f>
        <v>16581600</v>
      </c>
      <c r="AJ6" s="19"/>
      <c r="AK6" s="18">
        <f>AK4+AK5</f>
        <v>34125800</v>
      </c>
      <c r="AL6" s="19"/>
      <c r="AM6" s="18">
        <f>AM4+AM5</f>
        <v>32275850</v>
      </c>
      <c r="AN6" s="19"/>
      <c r="AO6" s="18">
        <f>AO4+AO5</f>
        <v>9440850</v>
      </c>
      <c r="AP6" s="19"/>
      <c r="AQ6" s="18">
        <f>AQ4+AQ5</f>
        <v>13949300</v>
      </c>
      <c r="AR6" s="19"/>
      <c r="AS6" s="18">
        <f>AS4+AS5</f>
        <v>13447100</v>
      </c>
      <c r="AT6" s="19"/>
      <c r="AU6" s="18">
        <f>AU4+AU5</f>
        <v>42102050</v>
      </c>
      <c r="AV6" s="19"/>
      <c r="AW6" s="18">
        <f>AW4+AW5</f>
        <v>18179400</v>
      </c>
      <c r="AX6" s="19"/>
      <c r="AY6" s="18">
        <f>AY4+AY5</f>
        <v>54444550</v>
      </c>
      <c r="AZ6" s="19"/>
      <c r="BA6" s="18">
        <f>BA4+BA5</f>
        <v>14270900</v>
      </c>
      <c r="BB6" s="19"/>
      <c r="BC6" s="18">
        <f>BC4+BC5</f>
        <v>22049500</v>
      </c>
      <c r="BD6" s="19"/>
      <c r="BE6" s="18">
        <f>BE4+BE5</f>
        <v>777050</v>
      </c>
      <c r="BF6" s="19"/>
      <c r="BG6" s="18">
        <f>BG4+BG5</f>
        <v>19543250</v>
      </c>
      <c r="BH6" s="19"/>
      <c r="BI6" s="18">
        <f>BI4+BI5</f>
        <v>13928900</v>
      </c>
      <c r="BJ6" s="19"/>
      <c r="BK6" s="18">
        <f>BK4+BK5</f>
        <v>7754200</v>
      </c>
    </row>
    <row r="7" ht="18" customHeight="1" spans="1:63" x14ac:dyDescent="0.25">
      <c r="A7" s="22" t="s">
        <v>85</v>
      </c>
      <c r="B7" s="23">
        <f>IF(C6=0,0,C7/C6)</f>
        <v>0.91901121032465</v>
      </c>
      <c r="C7" s="24">
        <f>SUMIF($D$3:$BK$3,"Rp",$D7:$BK7)</f>
        <v>658164306.75</v>
      </c>
      <c r="D7" s="23">
        <f>IF(E6=0,0,E7/E6)</f>
        <v>0.94</v>
      </c>
      <c r="E7" s="24">
        <f>E8+E9+E10+E12+IF(Rekap!$C$5="Ya",E13,0)+SUM(E15:E21)</f>
        <v>42057010</v>
      </c>
      <c r="F7" s="23">
        <f>IF(G6=0,0,G7/G6)</f>
        <v>0.935476585202049</v>
      </c>
      <c r="G7" s="24">
        <f>G8+G9+G10+G12+IF(Rekap!$C$5="Ya",G13,0)+SUM(G15:G21)</f>
        <v>88449545</v>
      </c>
      <c r="H7" s="23">
        <f>IF(I6=0,0,I7/I6)</f>
        <v>0.92939991546982</v>
      </c>
      <c r="I7" s="24">
        <f>I8+I9+I10+I12+IF(Rekap!$C$5="Ya",I13,0)+SUM(I15:I21)</f>
        <v>23309164</v>
      </c>
      <c r="J7" s="23">
        <f>IF(K6=0,0,K7/K6)</f>
        <v>0.933997501700355</v>
      </c>
      <c r="K7" s="24">
        <f>K8+K9+K10+K12+IF(Rekap!$C$5="Ya",K13,0)+SUM(K15:K21)</f>
        <v>10505277</v>
      </c>
      <c r="L7" s="23">
        <f>IF(M6=0,0,M7/M6)</f>
        <v>0.943776282284467</v>
      </c>
      <c r="M7" s="24">
        <f>M8+M9+M10+M12+IF(Rekap!$C$5="Ya",M13,0)+SUM(M15:M21)</f>
        <v>16215256.25</v>
      </c>
      <c r="N7" s="23">
        <f>IF(O6=0,0,O7/O6)</f>
        <v>0.882252932399734</v>
      </c>
      <c r="O7" s="24">
        <f>O8+O9+O10+O12+IF(Rekap!$C$5="Ya",O13,0)+SUM(O15:O21)</f>
        <v>15787828</v>
      </c>
      <c r="P7" s="23">
        <f>IF(Q6=0,0,Q7/Q6)</f>
        <v>0.916509391538967</v>
      </c>
      <c r="Q7" s="24">
        <f>Q8+Q9+Q10+Q12+IF(Rekap!$C$5="Ya",Q13,0)+SUM(Q15:Q21)</f>
        <v>10598148</v>
      </c>
      <c r="R7" s="23">
        <f>IF(S6=0,0,S7/S6)</f>
        <v>0.836153039308726</v>
      </c>
      <c r="S7" s="24">
        <f>S8+S9+S10+S12+IF(Rekap!$C$5="Ya",S13,0)+SUM(S15:S21)</f>
        <v>16740620</v>
      </c>
      <c r="T7" s="23">
        <f>IF(U6=0,0,U7/U6)</f>
        <v>0.882496917257711</v>
      </c>
      <c r="U7" s="24">
        <f>U8+U9+U10+U12+IF(Rekap!$C$5="Ya",U13,0)+SUM(U15:U21)</f>
        <v>29700522</v>
      </c>
      <c r="V7" s="23">
        <f>IF(W6=0,0,W7/W6)</f>
        <v>0.902810026754169</v>
      </c>
      <c r="W7" s="24">
        <f>W8+W9+W10+W12+IF(Rekap!$C$5="Ya",W13,0)+SUM(W15:W21)</f>
        <v>9684714</v>
      </c>
      <c r="X7" s="23">
        <f>IF(Y6=0,0,Y7/Y6)</f>
        <v>1.00956353690542</v>
      </c>
      <c r="Y7" s="24">
        <f>Y8+Y9+Y10+Y12+IF(Rekap!$C$5="Ya",Y13,0)+SUM(Y15:Y21)</f>
        <v>43776896</v>
      </c>
      <c r="Z7" s="23">
        <f>IF(AA6=0,0,AA7/AA6)</f>
        <v>0.906378997997691</v>
      </c>
      <c r="AA7" s="24">
        <f>AA8+AA9+AA10+AA12+IF(Rekap!$C$5="Ya",AA13,0)+SUM(AA15:AA21)</f>
        <v>17110804</v>
      </c>
      <c r="AB7" s="23">
        <f>IF(AC6=0,0,AC7/AC6)</f>
        <v>0.914284436164867</v>
      </c>
      <c r="AC7" s="24">
        <f>AC8+AC9+AC10+AC12+IF(Rekap!$C$5="Ya",AC13,0)+SUM(AC15:AC21)</f>
        <v>14919842</v>
      </c>
      <c r="AD7" s="23">
        <f>IF(AE6=0,0,AE7/AE6)</f>
        <v>0.918482813951524</v>
      </c>
      <c r="AE7" s="24">
        <f>AE8+AE9+AE10+AE12+IF(Rekap!$C$5="Ya",AE13,0)+SUM(AE15:AE21)</f>
        <v>17401208</v>
      </c>
      <c r="AF7" s="23">
        <f>IF(AG6=0,0,AG7/AG6)</f>
        <v>0.951389631674286</v>
      </c>
      <c r="AG7" s="24">
        <f>AG8+AG9+AG10+AG12+IF(Rekap!$C$5="Ya",AG13,0)+SUM(AG15:AG21)</f>
        <v>18198609</v>
      </c>
      <c r="AH7" s="23">
        <f>IF(AI6=0,0,AI7/AI6)</f>
        <v>0.972273604477252</v>
      </c>
      <c r="AI7" s="24">
        <f>AI8+AI9+AI10+AI12+IF(Rekap!$C$5="Ya",AI13,0)+SUM(AI15:AI21)</f>
        <v>16121852</v>
      </c>
      <c r="AJ7" s="23">
        <f>IF(AK6=0,0,AK7/AK6)</f>
        <v>0.880111059667466</v>
      </c>
      <c r="AK7" s="24">
        <f>AK8+AK9+AK10+AK12+IF(Rekap!$C$5="Ya",AK13,0)+SUM(AK15:AK21)</f>
        <v>30034494</v>
      </c>
      <c r="AL7" s="23">
        <f>IF(AM6=0,0,AM7/AM6)</f>
        <v>0.903212556756832</v>
      </c>
      <c r="AM7" s="24">
        <f>AM8+AM9+AM10+AM12+IF(Rekap!$C$5="Ya",AM13,0)+SUM(AM15:AM21)</f>
        <v>29151953</v>
      </c>
      <c r="AN7" s="23">
        <f>IF(AO6=0,0,AO7/AO6)</f>
        <v>0.916469703469497</v>
      </c>
      <c r="AO7" s="24">
        <f>AO8+AO9+AO10+AO12+IF(Rekap!$C$5="Ya",AO13,0)+SUM(AO15:AO21)</f>
        <v>8652253</v>
      </c>
      <c r="AP7" s="23">
        <f>IF(AQ6=0,0,AQ7/AQ6)</f>
        <v>0.91980572501846</v>
      </c>
      <c r="AQ7" s="24">
        <f>AQ8+AQ9+AQ10+AQ12+IF(Rekap!$C$5="Ya",AQ13,0)+SUM(AQ15:AQ21)</f>
        <v>12830646</v>
      </c>
      <c r="AR7" s="23">
        <f>IF(AS6=0,0,AS7/AS6)</f>
        <v>0.882958258658001</v>
      </c>
      <c r="AS7" s="24">
        <f>AS8+AS9+AS10+AS12+IF(Rekap!$C$5="Ya",AS13,0)+SUM(AS15:AS21)</f>
        <v>11873228</v>
      </c>
      <c r="AT7" s="23">
        <f>IF(AU6=0,0,AU7/AU6)</f>
        <v>0.902578829296911</v>
      </c>
      <c r="AU7" s="24">
        <f>AU8+AU9+AU10+AU12+IF(Rekap!$C$5="Ya",AU13,0)+SUM(AU15:AU21)</f>
        <v>38000419</v>
      </c>
      <c r="AV7" s="23">
        <f>IF(AW6=0,0,AW7/AW6)</f>
        <v>0.91</v>
      </c>
      <c r="AW7" s="24">
        <f>AW8+AW9+AW10+AW12+IF(Rekap!$C$5="Ya",AW13,0)+SUM(AW15:AW21)</f>
        <v>16543254</v>
      </c>
      <c r="AX7" s="23">
        <f>IF(AY6=0,0,AY7/AY6)</f>
        <v>0.929113547637</v>
      </c>
      <c r="AY7" s="24">
        <f>AY8+AY9+AY10+AY12+IF(Rekap!$C$5="Ya",AY13,0)+SUM(AY15:AY21)</f>
        <v>50585169</v>
      </c>
      <c r="AZ7" s="23">
        <f>IF(BA6=0,0,BA7/BA6)</f>
        <v>0.927577237595387</v>
      </c>
      <c r="BA7" s="24">
        <f>BA8+BA9+BA10+BA12+IF(Rekap!$C$5="Ya",BA13,0)+SUM(BA15:BA21)</f>
        <v>13237362</v>
      </c>
      <c r="BB7" s="23">
        <f>IF(BC6=0,0,BC7/BC6)</f>
        <v>0.907081339712919</v>
      </c>
      <c r="BC7" s="24">
        <f>BC8+BC9+BC10+BC12+IF(Rekap!$C$5="Ya",BC13,0)+SUM(BC15:BC21)</f>
        <v>20000690</v>
      </c>
      <c r="BD7" s="23">
        <f>IF(BE6=0,0,BE7/BE6)</f>
        <v>0.64403963708899</v>
      </c>
      <c r="BE7" s="24">
        <f>BE8+BE9+BE10+BE12+IF(Rekap!$C$5="Ya",BE13,0)+SUM(BE15:BE21)</f>
        <v>500451</v>
      </c>
      <c r="BF7" s="23">
        <f>IF(BG6=0,0,BG7/BG6)</f>
        <v>0.888756220178323</v>
      </c>
      <c r="BG7" s="24">
        <f>BG8+BG9+BG10+BG12+IF(Rekap!$C$5="Ya",BG13,0)+SUM(BG15:BG21)</f>
        <v>17369185</v>
      </c>
      <c r="BH7" s="23">
        <f>IF(BI6=0,0,BI7/BI6)</f>
        <v>0.843683672077479</v>
      </c>
      <c r="BI7" s="24">
        <f>BI8+BI9+BI10+BI12+IF(Rekap!$C$5="Ya",BI13,0)+SUM(BI15:BI21)</f>
        <v>11751585.5</v>
      </c>
      <c r="BJ7" s="23">
        <f>IF(BK6=0,0,BK7/BK6)</f>
        <v>0.91</v>
      </c>
      <c r="BK7" s="24">
        <f>BK8+BK9+BK10+BK12+IF(Rekap!$C$5="Ya",BK13,0)+SUM(BK15:BK21)</f>
        <v>7056322</v>
      </c>
    </row>
    <row r="8" ht="18" customHeight="1" spans="1:63" x14ac:dyDescent="0.25">
      <c r="A8" s="16" t="s">
        <v>86</v>
      </c>
      <c r="B8" s="25">
        <f>IF(C4=0,0,C8/C4)</f>
        <v>0.727718819122446</v>
      </c>
      <c r="C8" s="26">
        <f>SUMIF($D$3:$BK$3,"Rp",$D8:$BK8)</f>
        <v>521167257.5</v>
      </c>
      <c r="D8" s="25">
        <f>IF(E$4=0,0,E8/E$4)</f>
        <v>0.76</v>
      </c>
      <c r="E8" s="20">
        <v>34003540</v>
      </c>
      <c r="F8" s="25">
        <f>IF(G$4=0,0,G8/G$4)</f>
        <v>0.755476585202049</v>
      </c>
      <c r="G8" s="20">
        <v>71430500</v>
      </c>
      <c r="H8" s="25">
        <f>IF(I$4=0,0,I8/I$4)</f>
        <v>0.74939991546982</v>
      </c>
      <c r="I8" s="20">
        <v>18794800</v>
      </c>
      <c r="J8" s="25">
        <f>IF(K$4=0,0,K8/K$4)</f>
        <v>0.753997501700355</v>
      </c>
      <c r="K8" s="20">
        <v>8480700</v>
      </c>
      <c r="L8" s="25">
        <f>IF(M$4=0,0,M8/M$4)</f>
        <v>0.770776282284467</v>
      </c>
      <c r="M8" s="20">
        <v>13242900</v>
      </c>
      <c r="N8" s="25">
        <f>IF(O$4=0,0,O8/O$4)</f>
        <v>0.662252932399734</v>
      </c>
      <c r="O8" s="20">
        <v>11850950</v>
      </c>
      <c r="P8" s="25">
        <f>IF(Q$4=0,0,Q8/Q$4)</f>
        <v>0.736509391538967</v>
      </c>
      <c r="Q8" s="20">
        <v>8516700</v>
      </c>
      <c r="R8" s="25">
        <f>IF(S$4=0,0,S8/S$4)</f>
        <v>0.616153039308726</v>
      </c>
      <c r="S8" s="20">
        <v>12336000</v>
      </c>
      <c r="T8" s="25">
        <f>IF(U$4=0,0,U8/U$4)</f>
        <v>0.662496917257711</v>
      </c>
      <c r="U8" s="20">
        <v>22296400</v>
      </c>
      <c r="V8" s="25">
        <f>IF(W$4=0,0,W8/W$4)</f>
        <v>0.722810026754169</v>
      </c>
      <c r="W8" s="20">
        <v>7753800</v>
      </c>
      <c r="X8" s="25">
        <f>IF(Y$4=0,0,Y8/Y$4)</f>
        <v>0.829563536905415</v>
      </c>
      <c r="Y8" s="20">
        <v>35971700</v>
      </c>
      <c r="Z8" s="25">
        <f>IF(AA$4=0,0,AA8/AA$4)</f>
        <v>0.68637899799769</v>
      </c>
      <c r="AA8" s="20">
        <v>12957600</v>
      </c>
      <c r="AB8" s="25">
        <f>IF(AC$4=0,0,AC8/AC$4)</f>
        <v>0.694284436164867</v>
      </c>
      <c r="AC8" s="20">
        <v>11329750</v>
      </c>
      <c r="AD8" s="25">
        <f>IF(AE$4=0,0,AE8/AE$4)</f>
        <v>0.738482813951524</v>
      </c>
      <c r="AE8" s="20">
        <v>13991000</v>
      </c>
      <c r="AF8" s="25">
        <f>IF(AG$4=0,0,AG8/AG$4)</f>
        <v>0.731389631674286</v>
      </c>
      <c r="AG8" s="20">
        <v>13990350</v>
      </c>
      <c r="AH8" s="25">
        <f>IF(AI$4=0,0,AI8/AI$4)</f>
        <v>0.752273604477252</v>
      </c>
      <c r="AI8" s="20">
        <v>12473900</v>
      </c>
      <c r="AJ8" s="25">
        <f>IF(AK$4=0,0,AK8/AK$4)</f>
        <v>0.700111059667466</v>
      </c>
      <c r="AK8" s="20">
        <v>23891850</v>
      </c>
      <c r="AL8" s="25">
        <f>IF(AM$4=0,0,AM8/AM$4)</f>
        <v>0.723212556756832</v>
      </c>
      <c r="AM8" s="20">
        <v>23342300</v>
      </c>
      <c r="AN8" s="25">
        <f>IF(AO$4=0,0,AO8/AO$4)</f>
        <v>0.736469703469497</v>
      </c>
      <c r="AO8" s="20">
        <v>6952900</v>
      </c>
      <c r="AP8" s="25">
        <f>IF(AQ$4=0,0,AQ8/AQ$4)</f>
        <v>0.69980572501846</v>
      </c>
      <c r="AQ8" s="20">
        <v>9761800</v>
      </c>
      <c r="AR8" s="25">
        <f>IF(AS$4=0,0,AS8/AS$4)</f>
        <v>0.702958258658001</v>
      </c>
      <c r="AS8" s="20">
        <v>9452750</v>
      </c>
      <c r="AT8" s="25">
        <f>IF(AU$4=0,0,AU8/AU$4)</f>
        <v>0.722578829296911</v>
      </c>
      <c r="AU8" s="20">
        <v>30422050</v>
      </c>
      <c r="AV8" s="25">
        <f>IF(AW$4=0,0,AW8/AW$4)</f>
        <v>0.69</v>
      </c>
      <c r="AW8" s="20">
        <v>12543786</v>
      </c>
      <c r="AX8" s="25">
        <f>IF(AY$4=0,0,AY8/AY$4)</f>
        <v>0.749113547636999</v>
      </c>
      <c r="AY8" s="20">
        <v>40785150</v>
      </c>
      <c r="AZ8" s="25">
        <f>IF(BA$4=0,0,BA8/BA$4)</f>
        <v>0.747577237595386</v>
      </c>
      <c r="BA8" s="20">
        <v>10668600</v>
      </c>
      <c r="BB8" s="25">
        <f>IF(BC$4=0,0,BC8/BC$4)</f>
        <v>0.687081339712919</v>
      </c>
      <c r="BC8" s="20">
        <v>15149800</v>
      </c>
      <c r="BD8" s="25">
        <f>IF(BE$4=0,0,BE8/BE$4)</f>
        <v>0.42403963708899</v>
      </c>
      <c r="BE8" s="20">
        <v>329500</v>
      </c>
      <c r="BF8" s="25">
        <f>IF(BG$4=0,0,BG8/BG$4)</f>
        <v>0.708756220178322</v>
      </c>
      <c r="BG8" s="20">
        <v>13851400</v>
      </c>
      <c r="BH8" s="25">
        <f>IF(BI$4=0,0,BI8/BI$4)</f>
        <v>0.663683672077479</v>
      </c>
      <c r="BI8" s="20">
        <v>9244383.5</v>
      </c>
      <c r="BJ8" s="25">
        <f>IF(BK$4=0,0,BK8/BK$4)</f>
        <v>0.69</v>
      </c>
      <c r="BK8" s="20">
        <v>5350398</v>
      </c>
    </row>
    <row r="9" ht="18" customHeight="1" spans="1:63" x14ac:dyDescent="0.25">
      <c r="A9" s="16" t="s">
        <v>87</v>
      </c>
      <c r="B9" s="25">
        <f>IF(C4=0,0,C9/C4)</f>
        <v>0</v>
      </c>
      <c r="C9" s="26">
        <f>SUMIF($D$3:$BK$3,"Rp",$D9:$BK9)</f>
        <v>0</v>
      </c>
      <c r="D9" s="25">
        <f>IF(E$5=0,0,E9/E$5)</f>
        <v>0</v>
      </c>
      <c r="E9" s="20">
        <v>0</v>
      </c>
      <c r="F9" s="25">
        <f>IF(G$5=0,0,G9/G$5)</f>
        <v>0</v>
      </c>
      <c r="G9" s="20">
        <v>0</v>
      </c>
      <c r="H9" s="25">
        <f>IF(I$5=0,0,I9/I$5)</f>
        <v>0</v>
      </c>
      <c r="I9" s="20">
        <v>0</v>
      </c>
      <c r="J9" s="25">
        <f>IF(K$5=0,0,K9/K$5)</f>
        <v>0</v>
      </c>
      <c r="K9" s="20">
        <v>0</v>
      </c>
      <c r="L9" s="25">
        <f>IF(M$5=0,0,M9/M$5)</f>
        <v>0</v>
      </c>
      <c r="M9" s="20">
        <v>0</v>
      </c>
      <c r="N9" s="25">
        <f>IF(O$5=0,0,O9/O$5)</f>
        <v>0</v>
      </c>
      <c r="O9" s="20">
        <v>0</v>
      </c>
      <c r="P9" s="25">
        <f>IF(Q$5=0,0,Q9/Q$5)</f>
        <v>0</v>
      </c>
      <c r="Q9" s="20">
        <v>0</v>
      </c>
      <c r="R9" s="25">
        <f>IF(S$5=0,0,S9/S$5)</f>
        <v>0</v>
      </c>
      <c r="S9" s="20">
        <v>0</v>
      </c>
      <c r="T9" s="25">
        <f>IF(U$5=0,0,U9/U$5)</f>
        <v>0</v>
      </c>
      <c r="U9" s="20">
        <v>0</v>
      </c>
      <c r="V9" s="25">
        <f>IF(W$5=0,0,W9/W$5)</f>
        <v>0</v>
      </c>
      <c r="W9" s="20">
        <v>0</v>
      </c>
      <c r="X9" s="25">
        <f>IF(Y$5=0,0,Y9/Y$5)</f>
        <v>0</v>
      </c>
      <c r="Y9" s="20">
        <v>0</v>
      </c>
      <c r="Z9" s="25">
        <f>IF(AA$5=0,0,AA9/AA$5)</f>
        <v>0</v>
      </c>
      <c r="AA9" s="20">
        <v>0</v>
      </c>
      <c r="AB9" s="25">
        <f>IF(AC$5=0,0,AC9/AC$5)</f>
        <v>0</v>
      </c>
      <c r="AC9" s="20">
        <v>0</v>
      </c>
      <c r="AD9" s="25">
        <f>IF(AE$5=0,0,AE9/AE$5)</f>
        <v>0</v>
      </c>
      <c r="AE9" s="20">
        <v>0</v>
      </c>
      <c r="AF9" s="25">
        <f>IF(AG$5=0,0,AG9/AG$5)</f>
        <v>0</v>
      </c>
      <c r="AG9" s="20">
        <v>0</v>
      </c>
      <c r="AH9" s="25">
        <f>IF(AI$5=0,0,AI9/AI$5)</f>
        <v>0</v>
      </c>
      <c r="AI9" s="20">
        <v>0</v>
      </c>
      <c r="AJ9" s="25">
        <f>IF(AK$5=0,0,AK9/AK$5)</f>
        <v>0</v>
      </c>
      <c r="AK9" s="20">
        <v>0</v>
      </c>
      <c r="AL9" s="25">
        <f>IF(AM$5=0,0,AM9/AM$5)</f>
        <v>0</v>
      </c>
      <c r="AM9" s="20">
        <v>0</v>
      </c>
      <c r="AN9" s="25">
        <f>IF(AO$5=0,0,AO9/AO$5)</f>
        <v>0</v>
      </c>
      <c r="AO9" s="20">
        <v>0</v>
      </c>
      <c r="AP9" s="25">
        <f>IF(AQ$5=0,0,AQ9/AQ$5)</f>
        <v>0</v>
      </c>
      <c r="AQ9" s="20">
        <v>0</v>
      </c>
      <c r="AR9" s="25">
        <f>IF(AS$5=0,0,AS9/AS$5)</f>
        <v>0</v>
      </c>
      <c r="AS9" s="20">
        <v>0</v>
      </c>
      <c r="AT9" s="25">
        <f>IF(AU$5=0,0,AU9/AU$5)</f>
        <v>0</v>
      </c>
      <c r="AU9" s="20">
        <v>0</v>
      </c>
      <c r="AV9" s="25">
        <f>IF(AW$5=0,0,AW9/AW$5)</f>
        <v>0</v>
      </c>
      <c r="AW9" s="20">
        <v>0</v>
      </c>
      <c r="AX9" s="25">
        <f>IF(AY$5=0,0,AY9/AY$5)</f>
        <v>0</v>
      </c>
      <c r="AY9" s="20">
        <v>0</v>
      </c>
      <c r="AZ9" s="25">
        <f>IF(BA$5=0,0,BA9/BA$5)</f>
        <v>0</v>
      </c>
      <c r="BA9" s="20">
        <v>0</v>
      </c>
      <c r="BB9" s="25">
        <f>IF(BC$5=0,0,BC9/BC$5)</f>
        <v>0</v>
      </c>
      <c r="BC9" s="20">
        <v>0</v>
      </c>
      <c r="BD9" s="25">
        <f>IF(BE$5=0,0,BE9/BE$5)</f>
        <v>0</v>
      </c>
      <c r="BE9" s="20">
        <v>0</v>
      </c>
      <c r="BF9" s="25">
        <f>IF(BG$5=0,0,BG9/BG$5)</f>
        <v>0</v>
      </c>
      <c r="BG9" s="20">
        <v>0</v>
      </c>
      <c r="BH9" s="25">
        <f>IF(BI$5=0,0,BI9/BI$5)</f>
        <v>0</v>
      </c>
      <c r="BI9" s="20">
        <v>0</v>
      </c>
      <c r="BJ9" s="25">
        <f>IF(BK$5=0,0,BK9/BK$5)</f>
        <v>0</v>
      </c>
      <c r="BK9" s="20">
        <v>0</v>
      </c>
    </row>
    <row r="10" ht="18" customHeight="1" spans="1:63" x14ac:dyDescent="0.25">
      <c r="A10" s="16" t="s">
        <v>88</v>
      </c>
      <c r="B10" s="25">
        <f>IF(C4=0,0,C10/C4)</f>
        <v>0</v>
      </c>
      <c r="C10" s="26">
        <f>SUMIF($D$3:$BK$3,"Rp",$D10:$BK10)</f>
        <v>0</v>
      </c>
      <c r="D10" s="27">
        <v>0</v>
      </c>
      <c r="E10" s="26">
        <f>D10*E$4</f>
        <v>0</v>
      </c>
      <c r="F10" s="27">
        <v>0</v>
      </c>
      <c r="G10" s="26">
        <f>F10*G$4</f>
        <v>0</v>
      </c>
      <c r="H10" s="27">
        <v>0</v>
      </c>
      <c r="I10" s="26">
        <f>H10*I$4</f>
        <v>0</v>
      </c>
      <c r="J10" s="27">
        <v>0</v>
      </c>
      <c r="K10" s="26">
        <f>J10*K$4</f>
        <v>0</v>
      </c>
      <c r="L10" s="27">
        <v>0</v>
      </c>
      <c r="M10" s="26">
        <f>L10*M$4</f>
        <v>0</v>
      </c>
      <c r="N10" s="27">
        <v>0</v>
      </c>
      <c r="O10" s="26">
        <f>N10*O$4</f>
        <v>0</v>
      </c>
      <c r="P10" s="27">
        <v>0</v>
      </c>
      <c r="Q10" s="26">
        <f>P10*Q$4</f>
        <v>0</v>
      </c>
      <c r="R10" s="27">
        <v>0</v>
      </c>
      <c r="S10" s="26">
        <f>R10*S$4</f>
        <v>0</v>
      </c>
      <c r="T10" s="27">
        <v>0</v>
      </c>
      <c r="U10" s="26">
        <f>T10*U$4</f>
        <v>0</v>
      </c>
      <c r="V10" s="27">
        <v>0</v>
      </c>
      <c r="W10" s="26">
        <f>V10*W$4</f>
        <v>0</v>
      </c>
      <c r="X10" s="27">
        <v>0</v>
      </c>
      <c r="Y10" s="26">
        <f>X10*Y$4</f>
        <v>0</v>
      </c>
      <c r="Z10" s="27">
        <v>0</v>
      </c>
      <c r="AA10" s="26">
        <f>Z10*AA$4</f>
        <v>0</v>
      </c>
      <c r="AB10" s="27">
        <v>0</v>
      </c>
      <c r="AC10" s="26">
        <f>AB10*AC$4</f>
        <v>0</v>
      </c>
      <c r="AD10" s="27">
        <v>0</v>
      </c>
      <c r="AE10" s="26">
        <f>AD10*AE$4</f>
        <v>0</v>
      </c>
      <c r="AF10" s="27">
        <v>0</v>
      </c>
      <c r="AG10" s="26">
        <f>AF10*AG$4</f>
        <v>0</v>
      </c>
      <c r="AH10" s="27">
        <v>0</v>
      </c>
      <c r="AI10" s="26">
        <f>AH10*AI$4</f>
        <v>0</v>
      </c>
      <c r="AJ10" s="27">
        <v>0</v>
      </c>
      <c r="AK10" s="26">
        <f>AJ10*AK$4</f>
        <v>0</v>
      </c>
      <c r="AL10" s="27">
        <v>0</v>
      </c>
      <c r="AM10" s="26">
        <f>AL10*AM$4</f>
        <v>0</v>
      </c>
      <c r="AN10" s="27">
        <v>0</v>
      </c>
      <c r="AO10" s="26">
        <f>AN10*AO$4</f>
        <v>0</v>
      </c>
      <c r="AP10" s="27">
        <v>0</v>
      </c>
      <c r="AQ10" s="26">
        <f>AP10*AQ$4</f>
        <v>0</v>
      </c>
      <c r="AR10" s="27">
        <v>0</v>
      </c>
      <c r="AS10" s="26">
        <f>AR10*AS$4</f>
        <v>0</v>
      </c>
      <c r="AT10" s="27">
        <v>0</v>
      </c>
      <c r="AU10" s="26">
        <f>AT10*AU$4</f>
        <v>0</v>
      </c>
      <c r="AV10" s="27">
        <v>0</v>
      </c>
      <c r="AW10" s="26">
        <f>AV10*AW$4</f>
        <v>0</v>
      </c>
      <c r="AX10" s="27">
        <v>0</v>
      </c>
      <c r="AY10" s="26">
        <f>AX10*AY$4</f>
        <v>0</v>
      </c>
      <c r="AZ10" s="27">
        <v>0</v>
      </c>
      <c r="BA10" s="26">
        <f>AZ10*BA$4</f>
        <v>0</v>
      </c>
      <c r="BB10" s="27">
        <v>0</v>
      </c>
      <c r="BC10" s="26">
        <f>BB10*BC$4</f>
        <v>0</v>
      </c>
      <c r="BD10" s="27">
        <v>0</v>
      </c>
      <c r="BE10" s="26">
        <f>BD10*BE$4</f>
        <v>0</v>
      </c>
      <c r="BF10" s="27">
        <v>0</v>
      </c>
      <c r="BG10" s="26">
        <f>BF10*BG$4</f>
        <v>0</v>
      </c>
      <c r="BH10" s="27">
        <v>0</v>
      </c>
      <c r="BI10" s="26">
        <f>BH10*BI$4</f>
        <v>0</v>
      </c>
      <c r="BJ10" s="27">
        <v>0</v>
      </c>
      <c r="BK10" s="26">
        <f>BJ10*BK$4</f>
        <v>0</v>
      </c>
    </row>
    <row r="11" ht="18" customHeight="1" spans="1:63" x14ac:dyDescent="0.25">
      <c r="A11" s="16" t="s">
        <v>11</v>
      </c>
      <c r="B11" s="25">
        <f>IF(C7=0,0,C11/C7)</f>
        <v>0.1</v>
      </c>
      <c r="C11" s="26">
        <f>SUMIF($D$3:$BK$3,"Rp",$D11:$BK11)</f>
        <v>65816430.675</v>
      </c>
      <c r="D11" s="25">
        <f>Rekap!$C$4</f>
        <v>0.1</v>
      </c>
      <c r="E11" s="26">
        <f>D11*E$7</f>
        <v>4205701</v>
      </c>
      <c r="F11" s="25">
        <f>Rekap!$C$4</f>
        <v>0.1</v>
      </c>
      <c r="G11" s="26">
        <f>F11*G$7</f>
        <v>8844954.5</v>
      </c>
      <c r="H11" s="25">
        <f>Rekap!$C$4</f>
        <v>0.1</v>
      </c>
      <c r="I11" s="26">
        <f>H11*I$7</f>
        <v>2330916.4</v>
      </c>
      <c r="J11" s="25">
        <f>Rekap!$C$4</f>
        <v>0.1</v>
      </c>
      <c r="K11" s="26">
        <f>J11*K$7</f>
        <v>1050527.7</v>
      </c>
      <c r="L11" s="25">
        <f>Rekap!$C$4</f>
        <v>0.1</v>
      </c>
      <c r="M11" s="26">
        <f>L11*M$7</f>
        <v>1621525.625</v>
      </c>
      <c r="N11" s="25">
        <f>Rekap!$C$4</f>
        <v>0.1</v>
      </c>
      <c r="O11" s="26">
        <f>N11*O$7</f>
        <v>1578782.8</v>
      </c>
      <c r="P11" s="25">
        <f>Rekap!$C$4</f>
        <v>0.1</v>
      </c>
      <c r="Q11" s="26">
        <f>P11*Q$7</f>
        <v>1059814.8</v>
      </c>
      <c r="R11" s="25">
        <f>Rekap!$C$4</f>
        <v>0.1</v>
      </c>
      <c r="S11" s="26">
        <f>R11*S$7</f>
        <v>1674062</v>
      </c>
      <c r="T11" s="25">
        <f>Rekap!$C$4</f>
        <v>0.1</v>
      </c>
      <c r="U11" s="26">
        <f>T11*U$7</f>
        <v>2970052.2</v>
      </c>
      <c r="V11" s="25">
        <f>Rekap!$C$4</f>
        <v>0.1</v>
      </c>
      <c r="W11" s="26">
        <f>V11*W$7</f>
        <v>968471.4</v>
      </c>
      <c r="X11" s="25">
        <f>Rekap!$C$4</f>
        <v>0.1</v>
      </c>
      <c r="Y11" s="26">
        <f>X11*Y$7</f>
        <v>4377689.6</v>
      </c>
      <c r="Z11" s="25">
        <f>Rekap!$C$4</f>
        <v>0.1</v>
      </c>
      <c r="AA11" s="26">
        <f>Z11*AA$7</f>
        <v>1711080.4</v>
      </c>
      <c r="AB11" s="25">
        <f>Rekap!$C$4</f>
        <v>0.1</v>
      </c>
      <c r="AC11" s="26">
        <f>AB11*AC$7</f>
        <v>1491984.2</v>
      </c>
      <c r="AD11" s="25">
        <f>Rekap!$C$4</f>
        <v>0.1</v>
      </c>
      <c r="AE11" s="26">
        <f>AD11*AE$7</f>
        <v>1740120.8</v>
      </c>
      <c r="AF11" s="25">
        <f>Rekap!$C$4</f>
        <v>0.1</v>
      </c>
      <c r="AG11" s="26">
        <f>AF11*AG$7</f>
        <v>1819860.9</v>
      </c>
      <c r="AH11" s="25">
        <f>Rekap!$C$4</f>
        <v>0.1</v>
      </c>
      <c r="AI11" s="26">
        <f>AH11*AI$7</f>
        <v>1612185.2</v>
      </c>
      <c r="AJ11" s="25">
        <f>Rekap!$C$4</f>
        <v>0.1</v>
      </c>
      <c r="AK11" s="26">
        <f>AJ11*AK$7</f>
        <v>3003449.4</v>
      </c>
      <c r="AL11" s="25">
        <f>Rekap!$C$4</f>
        <v>0.1</v>
      </c>
      <c r="AM11" s="26">
        <f>AL11*AM$7</f>
        <v>2915195.3</v>
      </c>
      <c r="AN11" s="25">
        <f>Rekap!$C$4</f>
        <v>0.1</v>
      </c>
      <c r="AO11" s="26">
        <f>AN11*AO$7</f>
        <v>865225.3</v>
      </c>
      <c r="AP11" s="25">
        <f>Rekap!$C$4</f>
        <v>0.1</v>
      </c>
      <c r="AQ11" s="26">
        <f>AP11*AQ$7</f>
        <v>1283064.6</v>
      </c>
      <c r="AR11" s="25">
        <f>Rekap!$C$4</f>
        <v>0.1</v>
      </c>
      <c r="AS11" s="26">
        <f>AR11*AS$7</f>
        <v>1187322.8</v>
      </c>
      <c r="AT11" s="25">
        <f>Rekap!$C$4</f>
        <v>0.1</v>
      </c>
      <c r="AU11" s="26">
        <f>AT11*AU$7</f>
        <v>3800041.9</v>
      </c>
      <c r="AV11" s="25">
        <f>Rekap!$C$4</f>
        <v>0.1</v>
      </c>
      <c r="AW11" s="26">
        <f>AV11*AW$7</f>
        <v>1654325.4</v>
      </c>
      <c r="AX11" s="25">
        <f>Rekap!$C$4</f>
        <v>0.1</v>
      </c>
      <c r="AY11" s="26">
        <f>AX11*AY$7</f>
        <v>5058516.9</v>
      </c>
      <c r="AZ11" s="25">
        <f>Rekap!$C$4</f>
        <v>0.1</v>
      </c>
      <c r="BA11" s="26">
        <f>AZ11*BA$7</f>
        <v>1323736.2</v>
      </c>
      <c r="BB11" s="25">
        <f>Rekap!$C$4</f>
        <v>0.1</v>
      </c>
      <c r="BC11" s="26">
        <f>BB11*BC$7</f>
        <v>2000069</v>
      </c>
      <c r="BD11" s="25">
        <f>Rekap!$C$4</f>
        <v>0.1</v>
      </c>
      <c r="BE11" s="26">
        <f>BD11*BE$7</f>
        <v>50045.1</v>
      </c>
      <c r="BF11" s="25">
        <f>Rekap!$C$4</f>
        <v>0.1</v>
      </c>
      <c r="BG11" s="26">
        <f>BF11*BG$7</f>
        <v>1736918.5</v>
      </c>
      <c r="BH11" s="25">
        <f>Rekap!$C$4</f>
        <v>0.1</v>
      </c>
      <c r="BI11" s="26">
        <f>BH11*BI$7</f>
        <v>1175158.55</v>
      </c>
      <c r="BJ11" s="25">
        <f>Rekap!$C$4</f>
        <v>0.1</v>
      </c>
      <c r="BK11" s="26">
        <f>BJ11*BK$7</f>
        <v>705632.2</v>
      </c>
    </row>
    <row r="12" ht="18" customHeight="1" spans="1:63" x14ac:dyDescent="0.25">
      <c r="A12" s="16" t="s">
        <v>89</v>
      </c>
      <c r="B12" s="25">
        <f>IF(C6=0,0,C12/C6)</f>
        <v>0.025</v>
      </c>
      <c r="C12" s="26">
        <f>SUMIF($D$3:$BK$3,"Rp",$D12:$BK12)</f>
        <v>17904142.5</v>
      </c>
      <c r="D12" s="27">
        <v>0.025</v>
      </c>
      <c r="E12" s="26">
        <f>D12*E$6</f>
        <v>1118537.5</v>
      </c>
      <c r="F12" s="27">
        <v>0.025</v>
      </c>
      <c r="G12" s="26">
        <f>F12*G$6</f>
        <v>2363756.25</v>
      </c>
      <c r="H12" s="27">
        <v>0.025</v>
      </c>
      <c r="I12" s="26">
        <f>H12*I$6</f>
        <v>626995</v>
      </c>
      <c r="J12" s="27">
        <v>0.025</v>
      </c>
      <c r="K12" s="26">
        <f>J12*K$6</f>
        <v>281191.25</v>
      </c>
      <c r="L12" s="27">
        <v>0.025</v>
      </c>
      <c r="M12" s="26">
        <f>L12*M$6</f>
        <v>429531.25</v>
      </c>
      <c r="N12" s="27">
        <v>0.025</v>
      </c>
      <c r="O12" s="26">
        <f>N12*O$6</f>
        <v>447372.5</v>
      </c>
      <c r="P12" s="27">
        <v>0.025</v>
      </c>
      <c r="Q12" s="26">
        <f>P12*Q$6</f>
        <v>289090</v>
      </c>
      <c r="R12" s="27">
        <v>0.025</v>
      </c>
      <c r="S12" s="26">
        <f>R12*S$6</f>
        <v>500525</v>
      </c>
      <c r="T12" s="27">
        <v>0.025</v>
      </c>
      <c r="U12" s="26">
        <f>T12*U$6</f>
        <v>841377.5</v>
      </c>
      <c r="V12" s="27">
        <v>0.025</v>
      </c>
      <c r="W12" s="26">
        <f>V12*W$6</f>
        <v>268182.5</v>
      </c>
      <c r="X12" s="27">
        <v>0.025</v>
      </c>
      <c r="Y12" s="26">
        <f>X12*Y$6</f>
        <v>1084055</v>
      </c>
      <c r="Z12" s="27">
        <v>0.025</v>
      </c>
      <c r="AA12" s="26">
        <f>Z12*AA$6</f>
        <v>471955</v>
      </c>
      <c r="AB12" s="27">
        <v>0.025</v>
      </c>
      <c r="AC12" s="26">
        <f>AB12*AC$6</f>
        <v>407965</v>
      </c>
      <c r="AD12" s="27">
        <v>0.025</v>
      </c>
      <c r="AE12" s="26">
        <f>AD12*AE$6</f>
        <v>473640</v>
      </c>
      <c r="AF12" s="27">
        <v>0.025</v>
      </c>
      <c r="AG12" s="26">
        <f>AF12*AG$6</f>
        <v>478211.25</v>
      </c>
      <c r="AH12" s="27">
        <v>0.025</v>
      </c>
      <c r="AI12" s="26">
        <f>AH12*AI$6</f>
        <v>414540</v>
      </c>
      <c r="AJ12" s="27">
        <v>0.025</v>
      </c>
      <c r="AK12" s="26">
        <f>AJ12*AK$6</f>
        <v>853145</v>
      </c>
      <c r="AL12" s="27">
        <v>0.025</v>
      </c>
      <c r="AM12" s="26">
        <f>AL12*AM$6</f>
        <v>806896.25</v>
      </c>
      <c r="AN12" s="27">
        <v>0.025</v>
      </c>
      <c r="AO12" s="26">
        <f>AN12*AO$6</f>
        <v>236021.25</v>
      </c>
      <c r="AP12" s="27">
        <v>0.025</v>
      </c>
      <c r="AQ12" s="26">
        <f>AP12*AQ$6</f>
        <v>348732.5</v>
      </c>
      <c r="AR12" s="27">
        <v>0.025</v>
      </c>
      <c r="AS12" s="26">
        <f>AR12*AS$6</f>
        <v>336177.5</v>
      </c>
      <c r="AT12" s="27">
        <v>0.025</v>
      </c>
      <c r="AU12" s="26">
        <f>AT12*AU$6</f>
        <v>1052551.25</v>
      </c>
      <c r="AV12" s="27">
        <v>0.025</v>
      </c>
      <c r="AW12" s="26">
        <f>AV12*AW$6</f>
        <v>454485</v>
      </c>
      <c r="AX12" s="27">
        <v>0.025</v>
      </c>
      <c r="AY12" s="26">
        <f>AX12*AY$6</f>
        <v>1361113.75</v>
      </c>
      <c r="AZ12" s="27">
        <v>0.025</v>
      </c>
      <c r="BA12" s="26">
        <f>AZ12*BA$6</f>
        <v>356772.5</v>
      </c>
      <c r="BB12" s="27">
        <v>0.025</v>
      </c>
      <c r="BC12" s="26">
        <f>BB12*BC$6</f>
        <v>551237.5</v>
      </c>
      <c r="BD12" s="27">
        <v>0.025</v>
      </c>
      <c r="BE12" s="26">
        <f>BD12*BE$6</f>
        <v>19426.25</v>
      </c>
      <c r="BF12" s="27">
        <v>0.025</v>
      </c>
      <c r="BG12" s="26">
        <f>BF12*BG$6</f>
        <v>488581.25</v>
      </c>
      <c r="BH12" s="27">
        <v>0.025</v>
      </c>
      <c r="BI12" s="26">
        <f>BH12*BI$6</f>
        <v>348222.5</v>
      </c>
      <c r="BJ12" s="27">
        <v>0.025</v>
      </c>
      <c r="BK12" s="26">
        <f>BJ12*BK$6</f>
        <v>193855</v>
      </c>
    </row>
    <row r="13" ht="18" customHeight="1" spans="1:63" x14ac:dyDescent="0.25">
      <c r="A13" s="16" t="s">
        <v>90</v>
      </c>
      <c r="B13" s="25">
        <f>IF(C4=0,0,C13/C4)</f>
        <v>0.1</v>
      </c>
      <c r="C13" s="26">
        <f>SUMIF($D$3:$BK$3,"Rp",$D13:$BK13)</f>
        <v>71616570</v>
      </c>
      <c r="D13" s="27">
        <v>0.1</v>
      </c>
      <c r="E13" s="26">
        <f>D13*E$4</f>
        <v>4474150</v>
      </c>
      <c r="F13" s="27">
        <v>0.1</v>
      </c>
      <c r="G13" s="26">
        <f>F13*G$4</f>
        <v>9455025</v>
      </c>
      <c r="H13" s="27">
        <v>0.1</v>
      </c>
      <c r="I13" s="26">
        <f>H13*I$4</f>
        <v>2507980</v>
      </c>
      <c r="J13" s="27">
        <v>0.1</v>
      </c>
      <c r="K13" s="26">
        <f>J13*K$4</f>
        <v>1124765</v>
      </c>
      <c r="L13" s="27">
        <v>0.1</v>
      </c>
      <c r="M13" s="26">
        <f>L13*M$4</f>
        <v>1718125</v>
      </c>
      <c r="N13" s="27">
        <v>0.1</v>
      </c>
      <c r="O13" s="26">
        <f>N13*O$4</f>
        <v>1789490</v>
      </c>
      <c r="P13" s="27">
        <v>0.1</v>
      </c>
      <c r="Q13" s="26">
        <f>P13*Q$4</f>
        <v>1156360</v>
      </c>
      <c r="R13" s="27">
        <v>0.1</v>
      </c>
      <c r="S13" s="26">
        <f>R13*S$4</f>
        <v>2002100</v>
      </c>
      <c r="T13" s="27">
        <v>0.1</v>
      </c>
      <c r="U13" s="26">
        <f>T13*U$4</f>
        <v>3365510</v>
      </c>
      <c r="V13" s="27">
        <v>0.1</v>
      </c>
      <c r="W13" s="26">
        <f>V13*W$4</f>
        <v>1072730</v>
      </c>
      <c r="X13" s="27">
        <v>0.1</v>
      </c>
      <c r="Y13" s="26">
        <f>X13*Y$4</f>
        <v>4336220</v>
      </c>
      <c r="Z13" s="27">
        <v>0.1</v>
      </c>
      <c r="AA13" s="26">
        <f>Z13*AA$4</f>
        <v>1887820</v>
      </c>
      <c r="AB13" s="27">
        <v>0.1</v>
      </c>
      <c r="AC13" s="26">
        <f>AB13*AC$4</f>
        <v>1631860</v>
      </c>
      <c r="AD13" s="27">
        <v>0.1</v>
      </c>
      <c r="AE13" s="26">
        <f>AD13*AE$4</f>
        <v>1894560</v>
      </c>
      <c r="AF13" s="27">
        <v>0.1</v>
      </c>
      <c r="AG13" s="26">
        <f>AF13*AG$4</f>
        <v>1912845</v>
      </c>
      <c r="AH13" s="27">
        <v>0.1</v>
      </c>
      <c r="AI13" s="26">
        <f>AH13*AI$4</f>
        <v>1658160</v>
      </c>
      <c r="AJ13" s="27">
        <v>0.1</v>
      </c>
      <c r="AK13" s="26">
        <f>AJ13*AK$4</f>
        <v>3412580</v>
      </c>
      <c r="AL13" s="27">
        <v>0.1</v>
      </c>
      <c r="AM13" s="26">
        <f>AL13*AM$4</f>
        <v>3227585</v>
      </c>
      <c r="AN13" s="27">
        <v>0.1</v>
      </c>
      <c r="AO13" s="26">
        <f>AN13*AO$4</f>
        <v>944085</v>
      </c>
      <c r="AP13" s="27">
        <v>0.1</v>
      </c>
      <c r="AQ13" s="26">
        <f>AP13*AQ$4</f>
        <v>1394930</v>
      </c>
      <c r="AR13" s="27">
        <v>0.1</v>
      </c>
      <c r="AS13" s="26">
        <f>AR13*AS$4</f>
        <v>1344710</v>
      </c>
      <c r="AT13" s="27">
        <v>0.1</v>
      </c>
      <c r="AU13" s="26">
        <f>AT13*AU$4</f>
        <v>4210205</v>
      </c>
      <c r="AV13" s="27">
        <v>0.1</v>
      </c>
      <c r="AW13" s="26">
        <f>AV13*AW$4</f>
        <v>1817940</v>
      </c>
      <c r="AX13" s="27">
        <v>0.1</v>
      </c>
      <c r="AY13" s="26">
        <f>AX13*AY$4</f>
        <v>5444455</v>
      </c>
      <c r="AZ13" s="27">
        <v>0.1</v>
      </c>
      <c r="BA13" s="26">
        <f>AZ13*BA$4</f>
        <v>1427090</v>
      </c>
      <c r="BB13" s="27">
        <v>0.1</v>
      </c>
      <c r="BC13" s="26">
        <f>BB13*BC$4</f>
        <v>2204950</v>
      </c>
      <c r="BD13" s="27">
        <v>0.1</v>
      </c>
      <c r="BE13" s="26">
        <f>BD13*BE$4</f>
        <v>77705</v>
      </c>
      <c r="BF13" s="27">
        <v>0.1</v>
      </c>
      <c r="BG13" s="26">
        <f>BF13*BG$4</f>
        <v>1954325</v>
      </c>
      <c r="BH13" s="27">
        <v>0.1</v>
      </c>
      <c r="BI13" s="26">
        <f>BH13*BI$4</f>
        <v>1392890</v>
      </c>
      <c r="BJ13" s="27">
        <v>0.1</v>
      </c>
      <c r="BK13" s="26">
        <f>BJ13*BK$4</f>
        <v>775420</v>
      </c>
    </row>
    <row r="14" ht="18" customHeight="1" spans="1:63" x14ac:dyDescent="0.25">
      <c r="A14" s="22" t="s">
        <v>91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</row>
    <row r="15" ht="18" customHeight="1" spans="1:63" x14ac:dyDescent="0.25">
      <c r="A15" s="16" t="s">
        <v>92</v>
      </c>
      <c r="B15" s="25">
        <f>IF(C4=0,0,C15/C4)</f>
        <v>0.0128650813631538</v>
      </c>
      <c r="C15" s="26">
        <f>SUMIF($D$3:$BK$3,"Rp",$D15:$BK15)</f>
        <v>9213530</v>
      </c>
      <c r="D15" s="27">
        <v>0.01</v>
      </c>
      <c r="E15" s="26">
        <f>D15*E$4</f>
        <v>447415</v>
      </c>
      <c r="F15" s="27">
        <v>0.01</v>
      </c>
      <c r="G15" s="26">
        <f>F15*G$4</f>
        <v>945502.5</v>
      </c>
      <c r="H15" s="27">
        <v>0.01</v>
      </c>
      <c r="I15" s="26">
        <f>H15*I$4</f>
        <v>250798</v>
      </c>
      <c r="J15" s="27">
        <v>0.01</v>
      </c>
      <c r="K15" s="26">
        <f>J15*K$4</f>
        <v>112476.5</v>
      </c>
      <c r="L15" s="27">
        <v>0.01</v>
      </c>
      <c r="M15" s="26">
        <f>L15*M$4</f>
        <v>171812.5</v>
      </c>
      <c r="N15" s="27">
        <v>0.02</v>
      </c>
      <c r="O15" s="26">
        <f>N15*O$4</f>
        <v>357898</v>
      </c>
      <c r="P15" s="27">
        <v>0.01</v>
      </c>
      <c r="Q15" s="26">
        <f>P15*Q$4</f>
        <v>115636</v>
      </c>
      <c r="R15" s="27">
        <v>0.02</v>
      </c>
      <c r="S15" s="26">
        <f>R15*S$4</f>
        <v>400420</v>
      </c>
      <c r="T15" s="27">
        <v>0.02</v>
      </c>
      <c r="U15" s="26">
        <f>T15*U$4</f>
        <v>673102</v>
      </c>
      <c r="V15" s="27">
        <v>0.01</v>
      </c>
      <c r="W15" s="26">
        <f>V15*W$4</f>
        <v>107273</v>
      </c>
      <c r="X15" s="27">
        <v>0.01</v>
      </c>
      <c r="Y15" s="26">
        <f>X15*Y$4</f>
        <v>433622</v>
      </c>
      <c r="Z15" s="27">
        <v>0.02</v>
      </c>
      <c r="AA15" s="26">
        <f>Z15*AA$4</f>
        <v>377564</v>
      </c>
      <c r="AB15" s="27">
        <v>0.02</v>
      </c>
      <c r="AC15" s="26">
        <f>AB15*AC$4</f>
        <v>326372</v>
      </c>
      <c r="AD15" s="27">
        <v>0.01</v>
      </c>
      <c r="AE15" s="26">
        <f>AD15*AE$4</f>
        <v>189456</v>
      </c>
      <c r="AF15" s="27">
        <v>0.02</v>
      </c>
      <c r="AG15" s="26">
        <f>AF15*AG$4</f>
        <v>382569</v>
      </c>
      <c r="AH15" s="27">
        <v>0.02</v>
      </c>
      <c r="AI15" s="26">
        <f>AH15*AI$4</f>
        <v>331632</v>
      </c>
      <c r="AJ15" s="27">
        <v>0.01</v>
      </c>
      <c r="AK15" s="26">
        <f>AJ15*AK$4</f>
        <v>341258</v>
      </c>
      <c r="AL15" s="27">
        <v>0.01</v>
      </c>
      <c r="AM15" s="26">
        <f>AL15*AM$4</f>
        <v>322758.5</v>
      </c>
      <c r="AN15" s="27">
        <v>0.01</v>
      </c>
      <c r="AO15" s="26">
        <f>AN15*AO$4</f>
        <v>94408.5</v>
      </c>
      <c r="AP15" s="27">
        <v>0.02</v>
      </c>
      <c r="AQ15" s="26">
        <f>AP15*AQ$4</f>
        <v>278986</v>
      </c>
      <c r="AR15" s="27">
        <v>0.01</v>
      </c>
      <c r="AS15" s="26">
        <f>AR15*AS$4</f>
        <v>134471</v>
      </c>
      <c r="AT15" s="27">
        <v>0.01</v>
      </c>
      <c r="AU15" s="26">
        <f>AT15*AU$4</f>
        <v>421020.5</v>
      </c>
      <c r="AV15" s="27">
        <v>0.02</v>
      </c>
      <c r="AW15" s="26">
        <f>AV15*AW$4</f>
        <v>363588</v>
      </c>
      <c r="AX15" s="27">
        <v>0.01</v>
      </c>
      <c r="AY15" s="26">
        <f>AX15*AY$4</f>
        <v>544445.5</v>
      </c>
      <c r="AZ15" s="27">
        <v>0.01</v>
      </c>
      <c r="BA15" s="26">
        <f>AZ15*BA$4</f>
        <v>142709</v>
      </c>
      <c r="BB15" s="27">
        <v>0.02</v>
      </c>
      <c r="BC15" s="26">
        <f>BB15*BC$4</f>
        <v>440990</v>
      </c>
      <c r="BD15" s="27">
        <v>0.02</v>
      </c>
      <c r="BE15" s="26">
        <f>BD15*BE$4</f>
        <v>15541</v>
      </c>
      <c r="BF15" s="27">
        <v>0.01</v>
      </c>
      <c r="BG15" s="26">
        <f>BF15*BG$4</f>
        <v>195432.5</v>
      </c>
      <c r="BH15" s="27">
        <v>0.01</v>
      </c>
      <c r="BI15" s="26">
        <f>BH15*BI$4</f>
        <v>139289</v>
      </c>
      <c r="BJ15" s="27">
        <v>0.02</v>
      </c>
      <c r="BK15" s="26">
        <f>BJ15*BK$4</f>
        <v>155084</v>
      </c>
    </row>
    <row r="16" ht="18" customHeight="1" spans="1:63" x14ac:dyDescent="0.25">
      <c r="A16" s="16" t="s">
        <v>93</v>
      </c>
      <c r="B16" s="25">
        <f>IF(C4=0,0,C16/C4)</f>
        <v>0.0192976220447307</v>
      </c>
      <c r="C16" s="26">
        <f>SUMIF($D$3:$BK$3,"Rp",$D16:$BK16)</f>
        <v>13820295</v>
      </c>
      <c r="D16" s="27">
        <v>0.015</v>
      </c>
      <c r="E16" s="26">
        <f>D16*E$4</f>
        <v>671122.5</v>
      </c>
      <c r="F16" s="27">
        <v>0.015</v>
      </c>
      <c r="G16" s="26">
        <f>F16*G$4</f>
        <v>1418253.75</v>
      </c>
      <c r="H16" s="27">
        <v>0.015</v>
      </c>
      <c r="I16" s="26">
        <f>H16*I$4</f>
        <v>376197</v>
      </c>
      <c r="J16" s="27">
        <v>0.015</v>
      </c>
      <c r="K16" s="26">
        <f>J16*K$4</f>
        <v>168714.75</v>
      </c>
      <c r="L16" s="27">
        <v>0.015</v>
      </c>
      <c r="M16" s="26">
        <f>L16*M$4</f>
        <v>257718.75</v>
      </c>
      <c r="N16" s="27">
        <v>0.03</v>
      </c>
      <c r="O16" s="26">
        <f>N16*O$4</f>
        <v>536847</v>
      </c>
      <c r="P16" s="27">
        <v>0.015</v>
      </c>
      <c r="Q16" s="26">
        <f>P16*Q$4</f>
        <v>173454</v>
      </c>
      <c r="R16" s="27">
        <v>0.03</v>
      </c>
      <c r="S16" s="26">
        <f>R16*S$4</f>
        <v>600630</v>
      </c>
      <c r="T16" s="27">
        <v>0.03</v>
      </c>
      <c r="U16" s="26">
        <f>T16*U$4</f>
        <v>1009653</v>
      </c>
      <c r="V16" s="27">
        <v>0.015</v>
      </c>
      <c r="W16" s="26">
        <f>V16*W$4</f>
        <v>160909.5</v>
      </c>
      <c r="X16" s="27">
        <v>0.015</v>
      </c>
      <c r="Y16" s="26">
        <f>X16*Y$4</f>
        <v>650433</v>
      </c>
      <c r="Z16" s="27">
        <v>0.03</v>
      </c>
      <c r="AA16" s="26">
        <f>Z16*AA$4</f>
        <v>566346</v>
      </c>
      <c r="AB16" s="27">
        <v>0.03</v>
      </c>
      <c r="AC16" s="26">
        <f>AB16*AC$4</f>
        <v>489558</v>
      </c>
      <c r="AD16" s="27">
        <v>0.015</v>
      </c>
      <c r="AE16" s="26">
        <f>AD16*AE$4</f>
        <v>284184</v>
      </c>
      <c r="AF16" s="27">
        <v>0.03</v>
      </c>
      <c r="AG16" s="26">
        <f>AF16*AG$4</f>
        <v>573853.5</v>
      </c>
      <c r="AH16" s="27">
        <v>0.03</v>
      </c>
      <c r="AI16" s="26">
        <f>AH16*AI$4</f>
        <v>497448</v>
      </c>
      <c r="AJ16" s="27">
        <v>0.015</v>
      </c>
      <c r="AK16" s="26">
        <f>AJ16*AK$4</f>
        <v>511887</v>
      </c>
      <c r="AL16" s="27">
        <v>0.015</v>
      </c>
      <c r="AM16" s="26">
        <f>AL16*AM$4</f>
        <v>484137.75</v>
      </c>
      <c r="AN16" s="27">
        <v>0.015</v>
      </c>
      <c r="AO16" s="26">
        <f>AN16*AO$4</f>
        <v>141612.75</v>
      </c>
      <c r="AP16" s="27">
        <v>0.03</v>
      </c>
      <c r="AQ16" s="26">
        <f>AP16*AQ$4</f>
        <v>418479</v>
      </c>
      <c r="AR16" s="27">
        <v>0.015</v>
      </c>
      <c r="AS16" s="26">
        <f>AR16*AS$4</f>
        <v>201706.5</v>
      </c>
      <c r="AT16" s="27">
        <v>0.015</v>
      </c>
      <c r="AU16" s="26">
        <f>AT16*AU$4</f>
        <v>631530.75</v>
      </c>
      <c r="AV16" s="27">
        <v>0.03</v>
      </c>
      <c r="AW16" s="26">
        <f>AV16*AW$4</f>
        <v>545382</v>
      </c>
      <c r="AX16" s="27">
        <v>0.015</v>
      </c>
      <c r="AY16" s="26">
        <f>AX16*AY$4</f>
        <v>816668.25</v>
      </c>
      <c r="AZ16" s="27">
        <v>0.015</v>
      </c>
      <c r="BA16" s="26">
        <f>AZ16*BA$4</f>
        <v>214063.5</v>
      </c>
      <c r="BB16" s="27">
        <v>0.03</v>
      </c>
      <c r="BC16" s="26">
        <f>BB16*BC$4</f>
        <v>661485</v>
      </c>
      <c r="BD16" s="27">
        <v>0.03</v>
      </c>
      <c r="BE16" s="26">
        <f>BD16*BE$4</f>
        <v>23311.5</v>
      </c>
      <c r="BF16" s="27">
        <v>0.015</v>
      </c>
      <c r="BG16" s="26">
        <f>BF16*BG$4</f>
        <v>293148.75</v>
      </c>
      <c r="BH16" s="27">
        <v>0.015</v>
      </c>
      <c r="BI16" s="26">
        <f>BH16*BI$4</f>
        <v>208933.5</v>
      </c>
      <c r="BJ16" s="27">
        <v>0.03</v>
      </c>
      <c r="BK16" s="26">
        <f>BJ16*BK$4</f>
        <v>232626</v>
      </c>
    </row>
    <row r="17" ht="18" customHeight="1" spans="1:63" x14ac:dyDescent="0.25">
      <c r="A17" s="16" t="s">
        <v>94</v>
      </c>
      <c r="B17" s="25">
        <f>IF(C4=0,0,C17/C4)</f>
        <v>0.01</v>
      </c>
      <c r="C17" s="26">
        <f>SUMIF($D$3:$BK$3,"Rp",$D17:$BK17)</f>
        <v>7161657</v>
      </c>
      <c r="D17" s="27">
        <v>0.01</v>
      </c>
      <c r="E17" s="26">
        <f>D17*E$4</f>
        <v>447415</v>
      </c>
      <c r="F17" s="27">
        <v>0.01</v>
      </c>
      <c r="G17" s="26">
        <f>F17*G$4</f>
        <v>945502.5</v>
      </c>
      <c r="H17" s="27">
        <v>0.01</v>
      </c>
      <c r="I17" s="26">
        <f>H17*I$4</f>
        <v>250798</v>
      </c>
      <c r="J17" s="27">
        <v>0.01</v>
      </c>
      <c r="K17" s="26">
        <f>J17*K$4</f>
        <v>112476.5</v>
      </c>
      <c r="L17" s="27">
        <v>0.01</v>
      </c>
      <c r="M17" s="26">
        <f>L17*M$4</f>
        <v>171812.5</v>
      </c>
      <c r="N17" s="27">
        <v>0.01</v>
      </c>
      <c r="O17" s="26">
        <f>N17*O$4</f>
        <v>178949</v>
      </c>
      <c r="P17" s="27">
        <v>0.01</v>
      </c>
      <c r="Q17" s="26">
        <f>P17*Q$4</f>
        <v>115636</v>
      </c>
      <c r="R17" s="27">
        <v>0.01</v>
      </c>
      <c r="S17" s="26">
        <f>R17*S$4</f>
        <v>200210</v>
      </c>
      <c r="T17" s="27">
        <v>0.01</v>
      </c>
      <c r="U17" s="26">
        <f>T17*U$4</f>
        <v>336551</v>
      </c>
      <c r="V17" s="27">
        <v>0.01</v>
      </c>
      <c r="W17" s="26">
        <f>V17*W$4</f>
        <v>107273</v>
      </c>
      <c r="X17" s="27">
        <v>0.01</v>
      </c>
      <c r="Y17" s="26">
        <f>X17*Y$4</f>
        <v>433622</v>
      </c>
      <c r="Z17" s="27">
        <v>0.01</v>
      </c>
      <c r="AA17" s="26">
        <f>Z17*AA$4</f>
        <v>188782</v>
      </c>
      <c r="AB17" s="27">
        <v>0.01</v>
      </c>
      <c r="AC17" s="26">
        <f>AB17*AC$4</f>
        <v>163186</v>
      </c>
      <c r="AD17" s="27">
        <v>0.01</v>
      </c>
      <c r="AE17" s="26">
        <f>AD17*AE$4</f>
        <v>189456</v>
      </c>
      <c r="AF17" s="27">
        <v>0.01</v>
      </c>
      <c r="AG17" s="26">
        <f>AF17*AG$4</f>
        <v>191284.5</v>
      </c>
      <c r="AH17" s="27">
        <v>0.01</v>
      </c>
      <c r="AI17" s="26">
        <f>AH17*AI$4</f>
        <v>165816</v>
      </c>
      <c r="AJ17" s="27">
        <v>0.01</v>
      </c>
      <c r="AK17" s="26">
        <f>AJ17*AK$4</f>
        <v>341258</v>
      </c>
      <c r="AL17" s="27">
        <v>0.01</v>
      </c>
      <c r="AM17" s="26">
        <f>AL17*AM$4</f>
        <v>322758.5</v>
      </c>
      <c r="AN17" s="27">
        <v>0.01</v>
      </c>
      <c r="AO17" s="26">
        <f>AN17*AO$4</f>
        <v>94408.5</v>
      </c>
      <c r="AP17" s="27">
        <v>0.01</v>
      </c>
      <c r="AQ17" s="26">
        <f>AP17*AQ$4</f>
        <v>139493</v>
      </c>
      <c r="AR17" s="27">
        <v>0.01</v>
      </c>
      <c r="AS17" s="26">
        <f>AR17*AS$4</f>
        <v>134471</v>
      </c>
      <c r="AT17" s="27">
        <v>0.01</v>
      </c>
      <c r="AU17" s="26">
        <f>AT17*AU$4</f>
        <v>421020.5</v>
      </c>
      <c r="AV17" s="27">
        <v>0.01</v>
      </c>
      <c r="AW17" s="26">
        <f>AV17*AW$4</f>
        <v>181794</v>
      </c>
      <c r="AX17" s="27">
        <v>0.01</v>
      </c>
      <c r="AY17" s="26">
        <f>AX17*AY$4</f>
        <v>544445.5</v>
      </c>
      <c r="AZ17" s="27">
        <v>0.01</v>
      </c>
      <c r="BA17" s="26">
        <f>AZ17*BA$4</f>
        <v>142709</v>
      </c>
      <c r="BB17" s="27">
        <v>0.01</v>
      </c>
      <c r="BC17" s="26">
        <f>BB17*BC$4</f>
        <v>220495</v>
      </c>
      <c r="BD17" s="27">
        <v>0.01</v>
      </c>
      <c r="BE17" s="26">
        <f>BD17*BE$4</f>
        <v>7770.5</v>
      </c>
      <c r="BF17" s="27">
        <v>0.01</v>
      </c>
      <c r="BG17" s="26">
        <f>BF17*BG$4</f>
        <v>195432.5</v>
      </c>
      <c r="BH17" s="27">
        <v>0.01</v>
      </c>
      <c r="BI17" s="26">
        <f>BH17*BI$4</f>
        <v>139289</v>
      </c>
      <c r="BJ17" s="27">
        <v>0.01</v>
      </c>
      <c r="BK17" s="26">
        <f>BJ17*BK$4</f>
        <v>77542</v>
      </c>
    </row>
    <row r="18" ht="18" customHeight="1" spans="1:63" x14ac:dyDescent="0.25">
      <c r="A18" s="16" t="s">
        <v>95</v>
      </c>
      <c r="B18" s="25">
        <f>IF(C4=0,0,C18/C4)</f>
        <v>0</v>
      </c>
      <c r="C18" s="26">
        <f>SUMIF($D$3:$BK$3,"Rp",$D18:$BK18)</f>
        <v>0</v>
      </c>
      <c r="D18" s="27">
        <v>0</v>
      </c>
      <c r="E18" s="26">
        <f>D18*E$4</f>
        <v>0</v>
      </c>
      <c r="F18" s="27">
        <v>0</v>
      </c>
      <c r="G18" s="26">
        <f>F18*G$4</f>
        <v>0</v>
      </c>
      <c r="H18" s="27">
        <v>0</v>
      </c>
      <c r="I18" s="26">
        <f>H18*I$4</f>
        <v>0</v>
      </c>
      <c r="J18" s="27">
        <v>0</v>
      </c>
      <c r="K18" s="26">
        <f>J18*K$4</f>
        <v>0</v>
      </c>
      <c r="L18" s="27">
        <v>0</v>
      </c>
      <c r="M18" s="26">
        <f>L18*M$4</f>
        <v>0</v>
      </c>
      <c r="N18" s="27">
        <v>0</v>
      </c>
      <c r="O18" s="26">
        <f>N18*O$4</f>
        <v>0</v>
      </c>
      <c r="P18" s="27">
        <v>0</v>
      </c>
      <c r="Q18" s="26">
        <f>P18*Q$4</f>
        <v>0</v>
      </c>
      <c r="R18" s="27">
        <v>0</v>
      </c>
      <c r="S18" s="26">
        <f>R18*S$4</f>
        <v>0</v>
      </c>
      <c r="T18" s="27">
        <v>0</v>
      </c>
      <c r="U18" s="26">
        <f>T18*U$4</f>
        <v>0</v>
      </c>
      <c r="V18" s="27">
        <v>0</v>
      </c>
      <c r="W18" s="26">
        <f>V18*W$4</f>
        <v>0</v>
      </c>
      <c r="X18" s="27">
        <v>0</v>
      </c>
      <c r="Y18" s="26">
        <f>X18*Y$4</f>
        <v>0</v>
      </c>
      <c r="Z18" s="27">
        <v>0</v>
      </c>
      <c r="AA18" s="26">
        <f>Z18*AA$4</f>
        <v>0</v>
      </c>
      <c r="AB18" s="27">
        <v>0</v>
      </c>
      <c r="AC18" s="26">
        <f>AB18*AC$4</f>
        <v>0</v>
      </c>
      <c r="AD18" s="27">
        <v>0</v>
      </c>
      <c r="AE18" s="26">
        <f>AD18*AE$4</f>
        <v>0</v>
      </c>
      <c r="AF18" s="27">
        <v>0</v>
      </c>
      <c r="AG18" s="26">
        <f>AF18*AG$4</f>
        <v>0</v>
      </c>
      <c r="AH18" s="27">
        <v>0</v>
      </c>
      <c r="AI18" s="26">
        <f>AH18*AI$4</f>
        <v>0</v>
      </c>
      <c r="AJ18" s="27">
        <v>0</v>
      </c>
      <c r="AK18" s="26">
        <f>AJ18*AK$4</f>
        <v>0</v>
      </c>
      <c r="AL18" s="27">
        <v>0</v>
      </c>
      <c r="AM18" s="26">
        <f>AL18*AM$4</f>
        <v>0</v>
      </c>
      <c r="AN18" s="27">
        <v>0</v>
      </c>
      <c r="AO18" s="26">
        <f>AN18*AO$4</f>
        <v>0</v>
      </c>
      <c r="AP18" s="27">
        <v>0</v>
      </c>
      <c r="AQ18" s="26">
        <f>AP18*AQ$4</f>
        <v>0</v>
      </c>
      <c r="AR18" s="27">
        <v>0</v>
      </c>
      <c r="AS18" s="26">
        <f>AR18*AS$4</f>
        <v>0</v>
      </c>
      <c r="AT18" s="27">
        <v>0</v>
      </c>
      <c r="AU18" s="26">
        <f>AT18*AU$4</f>
        <v>0</v>
      </c>
      <c r="AV18" s="27">
        <v>0</v>
      </c>
      <c r="AW18" s="26">
        <f>AV18*AW$4</f>
        <v>0</v>
      </c>
      <c r="AX18" s="27">
        <v>0</v>
      </c>
      <c r="AY18" s="26">
        <f>AX18*AY$4</f>
        <v>0</v>
      </c>
      <c r="AZ18" s="27">
        <v>0</v>
      </c>
      <c r="BA18" s="26">
        <f>AZ18*BA$4</f>
        <v>0</v>
      </c>
      <c r="BB18" s="27">
        <v>0</v>
      </c>
      <c r="BC18" s="26">
        <f>BB18*BC$4</f>
        <v>0</v>
      </c>
      <c r="BD18" s="27">
        <v>0</v>
      </c>
      <c r="BE18" s="26">
        <f>BD18*BE$4</f>
        <v>0</v>
      </c>
      <c r="BF18" s="27">
        <v>0</v>
      </c>
      <c r="BG18" s="26">
        <f>BF18*BG$4</f>
        <v>0</v>
      </c>
      <c r="BH18" s="27">
        <v>0</v>
      </c>
      <c r="BI18" s="26">
        <f>BH18*BI$4</f>
        <v>0</v>
      </c>
      <c r="BJ18" s="27">
        <v>0</v>
      </c>
      <c r="BK18" s="26">
        <f>BJ18*BK$4</f>
        <v>0</v>
      </c>
    </row>
    <row r="19" ht="18" customHeight="1" spans="1:63" x14ac:dyDescent="0.25">
      <c r="A19" s="16" t="s">
        <v>96</v>
      </c>
      <c r="B19" s="25">
        <f>IF(C4=0,0,C19/C4)</f>
        <v>0</v>
      </c>
      <c r="C19" s="26">
        <f>SUMIF($D$3:$BK$3,"Rp",$D19:$BK19)</f>
        <v>0</v>
      </c>
      <c r="D19" s="27">
        <v>0</v>
      </c>
      <c r="E19" s="26">
        <f>D19*E$4</f>
        <v>0</v>
      </c>
      <c r="F19" s="27">
        <v>0</v>
      </c>
      <c r="G19" s="26">
        <f>F19*G$4</f>
        <v>0</v>
      </c>
      <c r="H19" s="27">
        <v>0</v>
      </c>
      <c r="I19" s="26">
        <f>H19*I$4</f>
        <v>0</v>
      </c>
      <c r="J19" s="27">
        <v>0</v>
      </c>
      <c r="K19" s="26">
        <f>J19*K$4</f>
        <v>0</v>
      </c>
      <c r="L19" s="27">
        <v>0</v>
      </c>
      <c r="M19" s="26">
        <f>L19*M$4</f>
        <v>0</v>
      </c>
      <c r="N19" s="27">
        <v>0</v>
      </c>
      <c r="O19" s="26">
        <f>N19*O$4</f>
        <v>0</v>
      </c>
      <c r="P19" s="27">
        <v>0</v>
      </c>
      <c r="Q19" s="26">
        <f>P19*Q$4</f>
        <v>0</v>
      </c>
      <c r="R19" s="27">
        <v>0</v>
      </c>
      <c r="S19" s="26">
        <f>R19*S$4</f>
        <v>0</v>
      </c>
      <c r="T19" s="27">
        <v>0</v>
      </c>
      <c r="U19" s="26">
        <f>T19*U$4</f>
        <v>0</v>
      </c>
      <c r="V19" s="27">
        <v>0</v>
      </c>
      <c r="W19" s="26">
        <f>V19*W$4</f>
        <v>0</v>
      </c>
      <c r="X19" s="27">
        <v>0</v>
      </c>
      <c r="Y19" s="26">
        <f>X19*Y$4</f>
        <v>0</v>
      </c>
      <c r="Z19" s="27">
        <v>0</v>
      </c>
      <c r="AA19" s="26">
        <f>Z19*AA$4</f>
        <v>0</v>
      </c>
      <c r="AB19" s="27">
        <v>0</v>
      </c>
      <c r="AC19" s="26">
        <f>AB19*AC$4</f>
        <v>0</v>
      </c>
      <c r="AD19" s="27">
        <v>0</v>
      </c>
      <c r="AE19" s="26">
        <f>AD19*AE$4</f>
        <v>0</v>
      </c>
      <c r="AF19" s="27">
        <v>0</v>
      </c>
      <c r="AG19" s="26">
        <f>AF19*AG$4</f>
        <v>0</v>
      </c>
      <c r="AH19" s="27">
        <v>0</v>
      </c>
      <c r="AI19" s="26">
        <f>AH19*AI$4</f>
        <v>0</v>
      </c>
      <c r="AJ19" s="27">
        <v>0</v>
      </c>
      <c r="AK19" s="26">
        <f>AJ19*AK$4</f>
        <v>0</v>
      </c>
      <c r="AL19" s="27">
        <v>0</v>
      </c>
      <c r="AM19" s="26">
        <f>AL19*AM$4</f>
        <v>0</v>
      </c>
      <c r="AN19" s="27">
        <v>0</v>
      </c>
      <c r="AO19" s="26">
        <f>AN19*AO$4</f>
        <v>0</v>
      </c>
      <c r="AP19" s="27">
        <v>0</v>
      </c>
      <c r="AQ19" s="26">
        <f>AP19*AQ$4</f>
        <v>0</v>
      </c>
      <c r="AR19" s="27">
        <v>0</v>
      </c>
      <c r="AS19" s="26">
        <f>AR19*AS$4</f>
        <v>0</v>
      </c>
      <c r="AT19" s="27">
        <v>0</v>
      </c>
      <c r="AU19" s="26">
        <f>AT19*AU$4</f>
        <v>0</v>
      </c>
      <c r="AV19" s="27">
        <v>0</v>
      </c>
      <c r="AW19" s="26">
        <f>AV19*AW$4</f>
        <v>0</v>
      </c>
      <c r="AX19" s="27">
        <v>0</v>
      </c>
      <c r="AY19" s="26">
        <f>AX19*AY$4</f>
        <v>0</v>
      </c>
      <c r="AZ19" s="27">
        <v>0</v>
      </c>
      <c r="BA19" s="26">
        <f>AZ19*BA$4</f>
        <v>0</v>
      </c>
      <c r="BB19" s="27">
        <v>0</v>
      </c>
      <c r="BC19" s="26">
        <f>BB19*BC$4</f>
        <v>0</v>
      </c>
      <c r="BD19" s="27">
        <v>0</v>
      </c>
      <c r="BE19" s="26">
        <f>BD19*BE$4</f>
        <v>0</v>
      </c>
      <c r="BF19" s="27">
        <v>0</v>
      </c>
      <c r="BG19" s="26">
        <f>BF19*BG$4</f>
        <v>0</v>
      </c>
      <c r="BH19" s="27">
        <v>0</v>
      </c>
      <c r="BI19" s="26">
        <f>BH19*BI$4</f>
        <v>0</v>
      </c>
      <c r="BJ19" s="27">
        <v>0</v>
      </c>
      <c r="BK19" s="26">
        <f>BJ19*BK$4</f>
        <v>0</v>
      </c>
    </row>
    <row r="20" ht="18" customHeight="1" spans="1:63" x14ac:dyDescent="0.25">
      <c r="A20" s="16" t="s">
        <v>97</v>
      </c>
      <c r="B20" s="25">
        <f>IF(C4=0,0,C20/C4)</f>
        <v>0.0141776690087224</v>
      </c>
      <c r="C20" s="26">
        <f>SUMIF($D$3:$BK$3,"Rp",$D20:$BK20)</f>
        <v>10153560.25</v>
      </c>
      <c r="D20" s="27">
        <v>0.01</v>
      </c>
      <c r="E20" s="26">
        <f>D20*E$4</f>
        <v>447415</v>
      </c>
      <c r="F20" s="27">
        <v>0.01</v>
      </c>
      <c r="G20" s="26">
        <f>F20*G$4</f>
        <v>945502.5</v>
      </c>
      <c r="H20" s="27">
        <v>0.01</v>
      </c>
      <c r="I20" s="26">
        <f>H20*I$4</f>
        <v>250798</v>
      </c>
      <c r="J20" s="27">
        <v>0.01</v>
      </c>
      <c r="K20" s="26">
        <f>J20*K$4</f>
        <v>112476.5</v>
      </c>
      <c r="L20" s="27">
        <v>0.005</v>
      </c>
      <c r="M20" s="26">
        <f>L20*M$4</f>
        <v>85906.25</v>
      </c>
      <c r="N20" s="27">
        <v>0.025</v>
      </c>
      <c r="O20" s="26">
        <f>N20*O$4</f>
        <v>447372.5</v>
      </c>
      <c r="P20" s="27">
        <v>0.01</v>
      </c>
      <c r="Q20" s="26">
        <f>P20*Q$4</f>
        <v>115636</v>
      </c>
      <c r="R20" s="27">
        <v>0.025</v>
      </c>
      <c r="S20" s="26">
        <f>R20*S$4</f>
        <v>500525</v>
      </c>
      <c r="T20" s="27">
        <v>0.025</v>
      </c>
      <c r="U20" s="26">
        <f>T20*U$4</f>
        <v>841377.5</v>
      </c>
      <c r="V20" s="27">
        <v>0.01</v>
      </c>
      <c r="W20" s="26">
        <f>V20*W$4</f>
        <v>107273</v>
      </c>
      <c r="X20" s="27">
        <v>0.01</v>
      </c>
      <c r="Y20" s="26">
        <f>X20*Y$4</f>
        <v>433622</v>
      </c>
      <c r="Z20" s="27">
        <v>0.025</v>
      </c>
      <c r="AA20" s="26">
        <f>Z20*AA$4</f>
        <v>471955</v>
      </c>
      <c r="AB20" s="27">
        <v>0.025</v>
      </c>
      <c r="AC20" s="26">
        <f>AB20*AC$4</f>
        <v>407965</v>
      </c>
      <c r="AD20" s="27">
        <v>0.01</v>
      </c>
      <c r="AE20" s="26">
        <f>AD20*AE$4</f>
        <v>189456</v>
      </c>
      <c r="AF20" s="27">
        <v>0.025</v>
      </c>
      <c r="AG20" s="26">
        <f>AF20*AG$4</f>
        <v>478211.25</v>
      </c>
      <c r="AH20" s="27">
        <v>0.025</v>
      </c>
      <c r="AI20" s="26">
        <f>AH20*AI$4</f>
        <v>414540</v>
      </c>
      <c r="AJ20" s="27">
        <v>0.01</v>
      </c>
      <c r="AK20" s="26">
        <f>AJ20*AK$4</f>
        <v>341258</v>
      </c>
      <c r="AL20" s="27">
        <v>0.01</v>
      </c>
      <c r="AM20" s="26">
        <f>AL20*AM$4</f>
        <v>322758.5</v>
      </c>
      <c r="AN20" s="27">
        <v>0.01</v>
      </c>
      <c r="AO20" s="26">
        <f>AN20*AO$4</f>
        <v>94408.5</v>
      </c>
      <c r="AP20" s="27">
        <v>0.025</v>
      </c>
      <c r="AQ20" s="26">
        <f>AP20*AQ$4</f>
        <v>348732.5</v>
      </c>
      <c r="AR20" s="27">
        <v>0.01</v>
      </c>
      <c r="AS20" s="26">
        <f>AR20*AS$4</f>
        <v>134471</v>
      </c>
      <c r="AT20" s="27">
        <v>0.01</v>
      </c>
      <c r="AU20" s="26">
        <f>AT20*AU$4</f>
        <v>421020.5</v>
      </c>
      <c r="AV20" s="27">
        <v>0.025</v>
      </c>
      <c r="AW20" s="26">
        <f>AV20*AW$4</f>
        <v>454485</v>
      </c>
      <c r="AX20" s="27">
        <v>0.01</v>
      </c>
      <c r="AY20" s="26">
        <f>AX20*AY$4</f>
        <v>544445.5</v>
      </c>
      <c r="AZ20" s="27">
        <v>0.01</v>
      </c>
      <c r="BA20" s="26">
        <f>AZ20*BA$4</f>
        <v>142709</v>
      </c>
      <c r="BB20" s="27">
        <v>0.025</v>
      </c>
      <c r="BC20" s="26">
        <f>BB20*BC$4</f>
        <v>551237.5</v>
      </c>
      <c r="BD20" s="27">
        <v>0.025</v>
      </c>
      <c r="BE20" s="26">
        <f>BD20*BE$4</f>
        <v>19426.25</v>
      </c>
      <c r="BF20" s="27">
        <v>0.01</v>
      </c>
      <c r="BG20" s="26">
        <f>BF20*BG$4</f>
        <v>195432.5</v>
      </c>
      <c r="BH20" s="27">
        <v>0.01</v>
      </c>
      <c r="BI20" s="26">
        <f>BH20*BI$4</f>
        <v>139289</v>
      </c>
      <c r="BJ20" s="27">
        <v>0.025</v>
      </c>
      <c r="BK20" s="26">
        <f>BJ20*BK$4</f>
        <v>193855</v>
      </c>
    </row>
    <row r="21" ht="18" customHeight="1" spans="1:63" x14ac:dyDescent="0.25">
      <c r="A21" s="16" t="s">
        <v>98</v>
      </c>
      <c r="B21" s="25">
        <f>IF(C4=0,0,C21/C4)</f>
        <v>0.00995201878559669</v>
      </c>
      <c r="C21" s="26">
        <f>SUMIF($D$3:$BK$3,"Rp",$D21:$BK21)</f>
        <v>7127294.5</v>
      </c>
      <c r="D21" s="27">
        <v>0.01</v>
      </c>
      <c r="E21" s="26">
        <f>D21*E$4</f>
        <v>447415</v>
      </c>
      <c r="F21" s="27">
        <v>0.01</v>
      </c>
      <c r="G21" s="26">
        <f>F21*G$4</f>
        <v>945502.5</v>
      </c>
      <c r="H21" s="27">
        <v>0.01</v>
      </c>
      <c r="I21" s="26">
        <f>H21*I$4</f>
        <v>250798</v>
      </c>
      <c r="J21" s="27">
        <v>0.01</v>
      </c>
      <c r="K21" s="26">
        <f>J21*K$4</f>
        <v>112476.5</v>
      </c>
      <c r="L21" s="27">
        <v>0.008</v>
      </c>
      <c r="M21" s="26">
        <f>L21*M$4</f>
        <v>137450</v>
      </c>
      <c r="N21" s="27">
        <v>0.01</v>
      </c>
      <c r="O21" s="26">
        <f>N21*O$4</f>
        <v>178949</v>
      </c>
      <c r="P21" s="27">
        <v>0.01</v>
      </c>
      <c r="Q21" s="26">
        <f>P21*Q$4</f>
        <v>115636</v>
      </c>
      <c r="R21" s="27">
        <v>0.01</v>
      </c>
      <c r="S21" s="26">
        <f>R21*S$4</f>
        <v>200210</v>
      </c>
      <c r="T21" s="27">
        <v>0.01</v>
      </c>
      <c r="U21" s="26">
        <f>T21*U$4</f>
        <v>336551</v>
      </c>
      <c r="V21" s="27">
        <v>0.01</v>
      </c>
      <c r="W21" s="26">
        <f>V21*W$4</f>
        <v>107273</v>
      </c>
      <c r="X21" s="27">
        <v>0.01</v>
      </c>
      <c r="Y21" s="26">
        <f>X21*Y$4</f>
        <v>433622</v>
      </c>
      <c r="Z21" s="27">
        <v>0.01</v>
      </c>
      <c r="AA21" s="26">
        <f>Z21*AA$4</f>
        <v>188782</v>
      </c>
      <c r="AB21" s="27">
        <v>0.01</v>
      </c>
      <c r="AC21" s="26">
        <f>AB21*AC$4</f>
        <v>163186</v>
      </c>
      <c r="AD21" s="27">
        <v>0.01</v>
      </c>
      <c r="AE21" s="26">
        <f>AD21*AE$4</f>
        <v>189456</v>
      </c>
      <c r="AF21" s="27">
        <v>0.01</v>
      </c>
      <c r="AG21" s="26">
        <f>AF21*AG$4</f>
        <v>191284.5</v>
      </c>
      <c r="AH21" s="27">
        <v>0.01</v>
      </c>
      <c r="AI21" s="26">
        <f>AH21*AI$4</f>
        <v>165816</v>
      </c>
      <c r="AJ21" s="27">
        <v>0.01</v>
      </c>
      <c r="AK21" s="26">
        <f>AJ21*AK$4</f>
        <v>341258</v>
      </c>
      <c r="AL21" s="27">
        <v>0.01</v>
      </c>
      <c r="AM21" s="26">
        <f>AL21*AM$4</f>
        <v>322758.5</v>
      </c>
      <c r="AN21" s="27">
        <v>0.01</v>
      </c>
      <c r="AO21" s="26">
        <f>AN21*AO$4</f>
        <v>94408.5</v>
      </c>
      <c r="AP21" s="27">
        <v>0.01</v>
      </c>
      <c r="AQ21" s="26">
        <f>AP21*AQ$4</f>
        <v>139493</v>
      </c>
      <c r="AR21" s="27">
        <v>0.01</v>
      </c>
      <c r="AS21" s="26">
        <f>AR21*AS$4</f>
        <v>134471</v>
      </c>
      <c r="AT21" s="27">
        <v>0.01</v>
      </c>
      <c r="AU21" s="26">
        <f>AT21*AU$4</f>
        <v>421020.5</v>
      </c>
      <c r="AV21" s="27">
        <v>0.01</v>
      </c>
      <c r="AW21" s="26">
        <f>AV21*AW$4</f>
        <v>181794</v>
      </c>
      <c r="AX21" s="27">
        <v>0.01</v>
      </c>
      <c r="AY21" s="26">
        <f>AX21*AY$4</f>
        <v>544445.5</v>
      </c>
      <c r="AZ21" s="27">
        <v>0.01</v>
      </c>
      <c r="BA21" s="26">
        <f>AZ21*BA$4</f>
        <v>142709</v>
      </c>
      <c r="BB21" s="27">
        <v>0.01</v>
      </c>
      <c r="BC21" s="26">
        <f>BB21*BC$4</f>
        <v>220495</v>
      </c>
      <c r="BD21" s="27">
        <v>0.01</v>
      </c>
      <c r="BE21" s="26">
        <f>BD21*BE$4</f>
        <v>7770.5</v>
      </c>
      <c r="BF21" s="27">
        <v>0.01</v>
      </c>
      <c r="BG21" s="26">
        <f>BF21*BG$4</f>
        <v>195432.5</v>
      </c>
      <c r="BH21" s="27">
        <v>0.01</v>
      </c>
      <c r="BI21" s="26">
        <f>BH21*BI$4</f>
        <v>139289</v>
      </c>
      <c r="BJ21" s="27">
        <v>0.01</v>
      </c>
      <c r="BK21" s="26">
        <f>BJ21*BK$4</f>
        <v>77542</v>
      </c>
    </row>
    <row r="22" ht="18" customHeight="1" spans="1:63" x14ac:dyDescent="0.25">
      <c r="A22" s="22" t="s">
        <v>12</v>
      </c>
      <c r="B22" s="23">
        <f>IF(C6=0,0,C22/C6)</f>
        <v>1.01091233135711</v>
      </c>
      <c r="C22" s="24">
        <f>SUMIF($D$3:$BK$3,"Rp",$D22:$BK22)</f>
        <v>723980737.425</v>
      </c>
      <c r="D22" s="23">
        <f>IF(E6=0,0,E22/E6)</f>
        <v>1.034</v>
      </c>
      <c r="E22" s="24">
        <f>SUM(E8:E21)-IF(Rekap!$C$5="Ya",0,E13)</f>
        <v>46262711</v>
      </c>
      <c r="F22" s="23">
        <f>IF(G6=0,0,G22/G6)</f>
        <v>1.02902424372225</v>
      </c>
      <c r="G22" s="24">
        <f>SUM(G8:G21)-IF(Rekap!$C$5="Ya",0,G13)</f>
        <v>97294499.5</v>
      </c>
      <c r="H22" s="23">
        <f>IF(I6=0,0,I22/I6)</f>
        <v>1.0223399070168</v>
      </c>
      <c r="I22" s="24">
        <f>SUM(I8:I21)-IF(Rekap!$C$5="Ya",0,I13)</f>
        <v>25640080.4</v>
      </c>
      <c r="J22" s="23">
        <f>IF(K6=0,0,K22/K6)</f>
        <v>1.02739725187039</v>
      </c>
      <c r="K22" s="24">
        <f>SUM(K8:K21)-IF(Rekap!$C$5="Ya",0,K13)</f>
        <v>11555804.7</v>
      </c>
      <c r="L22" s="23">
        <f>IF(M6=0,0,M22/M6)</f>
        <v>1.03815391051291</v>
      </c>
      <c r="M22" s="24">
        <f>SUM(M8:M21)-IF(Rekap!$C$5="Ya",0,M13)</f>
        <v>17836781.875</v>
      </c>
      <c r="N22" s="23">
        <f>IF(O6=0,0,O22/O6)</f>
        <v>0.970478225639707</v>
      </c>
      <c r="O22" s="24">
        <f>SUM(O8:O21)-IF(Rekap!$C$5="Ya",0,O13)</f>
        <v>17366610.8</v>
      </c>
      <c r="P22" s="23">
        <f>IF(Q6=0,0,Q22/Q6)</f>
        <v>1.00816033069286</v>
      </c>
      <c r="Q22" s="24">
        <f>SUM(Q8:Q21)-IF(Rekap!$C$5="Ya",0,Q13)</f>
        <v>11657962.8</v>
      </c>
      <c r="R22" s="23">
        <f>IF(S6=0,0,S22/S6)</f>
        <v>0.919768343239598</v>
      </c>
      <c r="S22" s="24">
        <f>SUM(S8:S21)-IF(Rekap!$C$5="Ya",0,S13)</f>
        <v>18414682</v>
      </c>
      <c r="T22" s="23">
        <f>IF(U6=0,0,U22/U6)</f>
        <v>0.970746608983482</v>
      </c>
      <c r="U22" s="24">
        <f>SUM(U8:U21)-IF(Rekap!$C$5="Ya",0,U13)</f>
        <v>32670574.2</v>
      </c>
      <c r="V22" s="23">
        <f>IF(W6=0,0,W22/W6)</f>
        <v>0.993091029429586</v>
      </c>
      <c r="W22" s="24">
        <f>SUM(W8:W21)-IF(Rekap!$C$5="Ya",0,W13)</f>
        <v>10653185.4</v>
      </c>
      <c r="X22" s="23">
        <f>IF(Y6=0,0,Y22/Y6)</f>
        <v>1.11051989059596</v>
      </c>
      <c r="Y22" s="24">
        <f>SUM(Y8:Y21)-IF(Rekap!$C$5="Ya",0,Y13)</f>
        <v>48154585.6</v>
      </c>
      <c r="Z22" s="23">
        <f>IF(AA6=0,0,AA22/AA6)</f>
        <v>0.997016897797459</v>
      </c>
      <c r="AA22" s="24">
        <f>SUM(AA8:AA21)-IF(Rekap!$C$5="Ya",0,AA13)</f>
        <v>18821884.4</v>
      </c>
      <c r="AB22" s="23">
        <f>IF(AC6=0,0,AC22/AC6)</f>
        <v>1.00571287978135</v>
      </c>
      <c r="AC22" s="24">
        <f>SUM(AC8:AC21)-IF(Rekap!$C$5="Ya",0,AC13)</f>
        <v>16411826.2</v>
      </c>
      <c r="AD22" s="23">
        <f>IF(AE6=0,0,AE22/AE6)</f>
        <v>1.01033109534668</v>
      </c>
      <c r="AE22" s="24">
        <f>SUM(AE8:AE21)-IF(Rekap!$C$5="Ya",0,AE13)</f>
        <v>19141328.8</v>
      </c>
      <c r="AF22" s="23">
        <f>IF(AG6=0,0,AG22/AG6)</f>
        <v>1.04652859484171</v>
      </c>
      <c r="AG22" s="24">
        <f>SUM(AG8:AG21)-IF(Rekap!$C$5="Ya",0,AG13)</f>
        <v>20018469.9</v>
      </c>
      <c r="AH22" s="23">
        <f>IF(AI6=0,0,AI22/AI6)</f>
        <v>1.06950096492498</v>
      </c>
      <c r="AI22" s="24">
        <f>SUM(AI8:AI21)-IF(Rekap!$C$5="Ya",0,AI13)</f>
        <v>17734037.2</v>
      </c>
      <c r="AJ22" s="23">
        <f>IF(AK6=0,0,AK22/AK6)</f>
        <v>0.968122165634212</v>
      </c>
      <c r="AK22" s="24">
        <f>SUM(AK8:AK21)-IF(Rekap!$C$5="Ya",0,AK13)</f>
        <v>33037943.4</v>
      </c>
      <c r="AL22" s="23">
        <f>IF(AM6=0,0,AM22/AM6)</f>
        <v>0.993533812432515</v>
      </c>
      <c r="AM22" s="24">
        <f>SUM(AM8:AM21)-IF(Rekap!$C$5="Ya",0,AM13)</f>
        <v>32067148.3</v>
      </c>
      <c r="AN22" s="23">
        <f>IF(AO6=0,0,AO22/AO6)</f>
        <v>1.00811667381645</v>
      </c>
      <c r="AO22" s="24">
        <f>SUM(AO8:AO21)-IF(Rekap!$C$5="Ya",0,AO13)</f>
        <v>9517478.3</v>
      </c>
      <c r="AP22" s="23">
        <f>IF(AQ6=0,0,AQ22/AQ6)</f>
        <v>1.01178629752031</v>
      </c>
      <c r="AQ22" s="24">
        <f>SUM(AQ8:AQ21)-IF(Rekap!$C$5="Ya",0,AQ13)</f>
        <v>14113710.6</v>
      </c>
      <c r="AR22" s="23">
        <f>IF(AS6=0,0,AS22/AS6)</f>
        <v>0.971254084523801</v>
      </c>
      <c r="AS22" s="24">
        <f>SUM(AS8:AS21)-IF(Rekap!$C$5="Ya",0,AS13)</f>
        <v>13060550.8</v>
      </c>
      <c r="AT22" s="23">
        <f>IF(AU6=0,0,AU22/AU6)</f>
        <v>0.992836712226602</v>
      </c>
      <c r="AU22" s="24">
        <f>SUM(AU8:AU21)-IF(Rekap!$C$5="Ya",0,AU13)</f>
        <v>41800460.9</v>
      </c>
      <c r="AV22" s="23">
        <f>IF(AW6=0,0,AW22/AW6)</f>
        <v>1.001</v>
      </c>
      <c r="AW22" s="24">
        <f>SUM(AW8:AW21)-IF(Rekap!$C$5="Ya",0,AW13)</f>
        <v>18197579.4</v>
      </c>
      <c r="AX22" s="23">
        <f>IF(AY6=0,0,AY22/AY6)</f>
        <v>1.0220249024007</v>
      </c>
      <c r="AY22" s="24">
        <f>SUM(AY8:AY21)-IF(Rekap!$C$5="Ya",0,AY13)</f>
        <v>55643685.9</v>
      </c>
      <c r="AZ22" s="23">
        <f>IF(BA6=0,0,BA22/BA6)</f>
        <v>1.02033496135493</v>
      </c>
      <c r="BA22" s="24">
        <f>SUM(BA8:BA21)-IF(Rekap!$C$5="Ya",0,BA13)</f>
        <v>14561098.2</v>
      </c>
      <c r="BB22" s="23">
        <f>IF(BC6=0,0,BC22/BC6)</f>
        <v>0.997789473684211</v>
      </c>
      <c r="BC22" s="24">
        <f>SUM(BC8:BC21)-IF(Rekap!$C$5="Ya",0,BC13)</f>
        <v>22000759</v>
      </c>
      <c r="BD22" s="23">
        <f>IF(BE6=0,0,BE22/BE6)</f>
        <v>0.708443600797889</v>
      </c>
      <c r="BE22" s="24">
        <f>SUM(BE8:BE21)-IF(Rekap!$C$5="Ya",0,BE13)</f>
        <v>550496.1</v>
      </c>
      <c r="BF22" s="23">
        <f>IF(BG6=0,0,BG22/BG6)</f>
        <v>0.977631842196155</v>
      </c>
      <c r="BG22" s="24">
        <f>SUM(BG8:BG21)-IF(Rekap!$C$5="Ya",0,BG13)</f>
        <v>19106103.5</v>
      </c>
      <c r="BH22" s="23">
        <f>IF(BI6=0,0,BI22/BI6)</f>
        <v>0.928052039285227</v>
      </c>
      <c r="BI22" s="24">
        <f>SUM(BI8:BI21)-IF(Rekap!$C$5="Ya",0,BI13)</f>
        <v>12926744.05</v>
      </c>
      <c r="BJ22" s="23">
        <f>IF(BK6=0,0,BK22/BK6)</f>
        <v>1.001</v>
      </c>
      <c r="BK22" s="24">
        <f>SUM(BK8:BK21)-IF(Rekap!$C$5="Ya",0,BK13)</f>
        <v>7761954.2</v>
      </c>
    </row>
    <row r="23" ht="18" customHeight="1" spans="1:63" x14ac:dyDescent="0.25">
      <c r="A23" s="21" t="s">
        <v>13</v>
      </c>
      <c r="B23" s="17">
        <f>IF(C6=0,0,C23/C6)</f>
        <v>-0.0109123313571147</v>
      </c>
      <c r="C23" s="18">
        <f>SUMIF($D$3:$BK$3,"Rp",$D23:$BK23)</f>
        <v>-7815037.42499999</v>
      </c>
      <c r="D23" s="17">
        <f>IF(E6=0,0,E23/E6)</f>
        <v>-0.034</v>
      </c>
      <c r="E23" s="18">
        <f>E6-E22</f>
        <v>-1521211</v>
      </c>
      <c r="F23" s="17">
        <f>IF(G6=0,0,G23/G6)</f>
        <v>-0.0290242437222535</v>
      </c>
      <c r="G23" s="18">
        <f>G6-G22</f>
        <v>-2744249.5</v>
      </c>
      <c r="H23" s="17">
        <f>IF(I6=0,0,I23/I6)</f>
        <v>-0.0223399070168023</v>
      </c>
      <c r="I23" s="18">
        <f>I6-I22</f>
        <v>-560280.399999999</v>
      </c>
      <c r="J23" s="17">
        <f>IF(K6=0,0,K23/K6)</f>
        <v>-0.0273972518703906</v>
      </c>
      <c r="K23" s="18">
        <f>K6-K22</f>
        <v>-308154.699999999</v>
      </c>
      <c r="L23" s="17">
        <f>IF(M6=0,0,M23/M6)</f>
        <v>-0.0381539105129138</v>
      </c>
      <c r="M23" s="18">
        <f>M6-M22</f>
        <v>-655531.875</v>
      </c>
      <c r="N23" s="17">
        <f>IF(O6=0,0,O23/O6)</f>
        <v>0.0295217743602926</v>
      </c>
      <c r="O23" s="18">
        <f>O6-O22</f>
        <v>528289.199999999</v>
      </c>
      <c r="P23" s="17">
        <f>IF(Q6=0,0,Q23/Q6)</f>
        <v>-0.00816033069286388</v>
      </c>
      <c r="Q23" s="18">
        <f>Q6-Q22</f>
        <v>-94362.8000000008</v>
      </c>
      <c r="R23" s="17">
        <f>IF(S6=0,0,S23/S6)</f>
        <v>0.0802316567604016</v>
      </c>
      <c r="S23" s="18">
        <f>S6-S22</f>
        <v>1606318</v>
      </c>
      <c r="T23" s="17">
        <f>IF(U6=0,0,U23/U6)</f>
        <v>0.0292533910165176</v>
      </c>
      <c r="U23" s="18">
        <f>U6-U22</f>
        <v>984525.800000001</v>
      </c>
      <c r="V23" s="17">
        <f>IF(W6=0,0,W23/W6)</f>
        <v>0.00690897057041377</v>
      </c>
      <c r="W23" s="18">
        <f>W6-W22</f>
        <v>74114.5999999996</v>
      </c>
      <c r="X23" s="17">
        <f>IF(Y6=0,0,Y23/Y6)</f>
        <v>-0.110519890595957</v>
      </c>
      <c r="Y23" s="18">
        <f>Y6-Y22</f>
        <v>-4792385.6</v>
      </c>
      <c r="Z23" s="17">
        <f>IF(AA6=0,0,AA23/AA6)</f>
        <v>0.00298310220254058</v>
      </c>
      <c r="AA23" s="18">
        <f>AA6-AA22</f>
        <v>56315.6000000015</v>
      </c>
      <c r="AB23" s="17">
        <f>IF(AC6=0,0,AC23/AC6)</f>
        <v>-0.00571287978135375</v>
      </c>
      <c r="AC23" s="18">
        <f>AC6-AC22</f>
        <v>-93226.1999999993</v>
      </c>
      <c r="AD23" s="17">
        <f>IF(AE6=0,0,AE23/AE6)</f>
        <v>-0.0103310953466768</v>
      </c>
      <c r="AE23" s="18">
        <f>AE6-AE22</f>
        <v>-195728.800000001</v>
      </c>
      <c r="AF23" s="17">
        <f>IF(AG6=0,0,AG23/AG6)</f>
        <v>-0.0465285948417148</v>
      </c>
      <c r="AG23" s="18">
        <f>AG6-AG22</f>
        <v>-890019.899999999</v>
      </c>
      <c r="AH23" s="17">
        <f>IF(AI6=0,0,AI23/AI6)</f>
        <v>-0.069500964924977</v>
      </c>
      <c r="AI23" s="18">
        <f>AI6-AI22</f>
        <v>-1152437.2</v>
      </c>
      <c r="AJ23" s="17">
        <f>IF(AK6=0,0,AK23/AK6)</f>
        <v>0.0318778343657878</v>
      </c>
      <c r="AK23" s="18">
        <f>AK6-AK22</f>
        <v>1087856.6</v>
      </c>
      <c r="AL23" s="17">
        <f>IF(AM6=0,0,AM23/AM6)</f>
        <v>0.00646618756748464</v>
      </c>
      <c r="AM23" s="18">
        <f>AM6-AM22</f>
        <v>208701.699999999</v>
      </c>
      <c r="AN23" s="17">
        <f>IF(AO6=0,0,AO23/AO6)</f>
        <v>-0.00811667381644669</v>
      </c>
      <c r="AO23" s="18">
        <f>AO6-AO22</f>
        <v>-76628.3000000008</v>
      </c>
      <c r="AP23" s="17">
        <f>IF(AQ6=0,0,AQ23/AQ6)</f>
        <v>-0.0117862975203057</v>
      </c>
      <c r="AQ23" s="18">
        <f>AQ6-AQ22</f>
        <v>-164410.6</v>
      </c>
      <c r="AR23" s="17">
        <f>IF(AS6=0,0,AS23/AS6)</f>
        <v>0.0287459154761993</v>
      </c>
      <c r="AS23" s="18">
        <f>AS6-AS22</f>
        <v>386549.199999999</v>
      </c>
      <c r="AT23" s="17">
        <f>IF(AU6=0,0,AU23/AU6)</f>
        <v>0.00716328777339824</v>
      </c>
      <c r="AU23" s="18">
        <f>AU6-AU22</f>
        <v>301589.100000002</v>
      </c>
      <c r="AV23" s="17">
        <f>IF(AW6=0,0,AW23/AW6)</f>
        <v>-0.000999999999999918</v>
      </c>
      <c r="AW23" s="18">
        <f>AW6-AW22</f>
        <v>-18179.3999999985</v>
      </c>
      <c r="AX23" s="17">
        <f>IF(AY6=0,0,AY23/AY6)</f>
        <v>-0.0220249024006994</v>
      </c>
      <c r="AY23" s="18">
        <f>AY6-AY22</f>
        <v>-1199135.9</v>
      </c>
      <c r="AZ23" s="17">
        <f>IF(BA6=0,0,BA23/BA6)</f>
        <v>-0.020334961354925</v>
      </c>
      <c r="BA23" s="18">
        <f>BA6-BA22</f>
        <v>-290198.199999999</v>
      </c>
      <c r="BB23" s="17">
        <f>IF(BC6=0,0,BC23/BC6)</f>
        <v>0.00221052631578947</v>
      </c>
      <c r="BC23" s="18">
        <f>BC6-BC22</f>
        <v>48741</v>
      </c>
      <c r="BD23" s="17">
        <f>IF(BE6=0,0,BE23/BE6)</f>
        <v>0.291556399202111</v>
      </c>
      <c r="BE23" s="18">
        <f>BE6-BE22</f>
        <v>226553.9</v>
      </c>
      <c r="BF23" s="17">
        <f>IF(BG6=0,0,BG23/BG6)</f>
        <v>0.0223681578038453</v>
      </c>
      <c r="BG23" s="18">
        <f>BG6-BG22</f>
        <v>437146.5</v>
      </c>
      <c r="BH23" s="17">
        <f>IF(BI6=0,0,BI23/BI6)</f>
        <v>0.0719479607147728</v>
      </c>
      <c r="BI23" s="18">
        <f>BI6-BI22</f>
        <v>1002155.95</v>
      </c>
      <c r="BJ23" s="17">
        <f>IF(BK6=0,0,BK23/BK6)</f>
        <v>-0.00100000000000002</v>
      </c>
      <c r="BK23" s="18">
        <f>BK6-BK22</f>
        <v>-7754.20000000019</v>
      </c>
    </row>
    <row r="25" ht="15" customHeight="1" spans="1:1" x14ac:dyDescent="0.25">
      <c r="A25" s="29" t="s">
        <v>99</v>
      </c>
    </row>
    <row r="26" ht="15" customHeight="1" spans="1:1" x14ac:dyDescent="0.25">
      <c r="A26" s="4" t="s">
        <v>100</v>
      </c>
    </row>
    <row r="27" ht="15" customHeight="1" spans="1:1" x14ac:dyDescent="0.25">
      <c r="A27" s="4" t="s">
        <v>101</v>
      </c>
    </row>
    <row r="28" ht="15" customHeight="1" spans="1:1" x14ac:dyDescent="0.25">
      <c r="A28" s="4" t="s">
        <v>102</v>
      </c>
    </row>
    <row r="29" ht="15" customHeight="1" spans="1:1" x14ac:dyDescent="0.25">
      <c r="A29" s="4" t="s">
        <v>103</v>
      </c>
    </row>
  </sheetData>
  <mergeCells count="63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A1:A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</mergeCells>
  <conditionalFormatting sqref="B23:BK23">
    <cfRule type="cellIs" dxfId="1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workbookViewId="0" zoomScale="100" zoomScaleNormal="100" view="normal">
      <selection activeCell="A1" sqref="A1"/>
    </sheetView>
  </sheetViews>
  <sheetFormatPr defaultRowHeight="14.25" outlineLevelRow="0" outlineLevelCol="0" x14ac:dyDescent="0" defaultColWidth="8.6328125" customHeight="1"/>
  <cols>
    <col min="1" max="1" width="5" style="30" customWidth="1"/>
    <col min="2" max="2" width="34" style="30" customWidth="1"/>
    <col min="3" max="3" width="9" style="30" customWidth="1"/>
    <col min="4" max="4" width="16" style="30" customWidth="1"/>
    <col min="5" max="5" width="10.91" style="30" customWidth="1"/>
    <col min="6" max="8" width="16" style="30" customWidth="1"/>
    <col min="9" max="9" width="28" style="30" customWidth="1"/>
    <col min="11" max="11" width="13" hidden="1" customWidth="1"/>
  </cols>
  <sheetData>
    <row r="1" ht="30" customHeight="1" spans="1:9" x14ac:dyDescent="0.25">
      <c r="A1" s="31" t="s">
        <v>104</v>
      </c>
      <c r="B1" s="31"/>
      <c r="C1" s="31"/>
      <c r="D1" s="31"/>
      <c r="E1" s="31"/>
      <c r="F1" s="31"/>
      <c r="G1" s="31"/>
      <c r="H1" s="31"/>
      <c r="I1" s="31"/>
    </row>
    <row r="2" ht="15" customHeight="1" spans="1:9" x14ac:dyDescent="0.25">
      <c r="A2" s="32" t="s">
        <v>105</v>
      </c>
      <c r="B2" s="32"/>
      <c r="C2" s="32"/>
      <c r="D2" s="32"/>
      <c r="E2" s="32"/>
      <c r="F2" s="32"/>
      <c r="G2" s="32"/>
      <c r="H2" s="32"/>
      <c r="I2" s="32"/>
    </row>
    <row r="3" ht="15" customHeight="1" spans="1:1" x14ac:dyDescent="0.25">
      <c r="A3" s="33" t="s">
        <v>106</v>
      </c>
    </row>
    <row r="5" ht="15" customHeight="1" spans="1:9" x14ac:dyDescent="0.25">
      <c r="A5" s="34" t="s">
        <v>107</v>
      </c>
      <c r="B5" s="34"/>
      <c r="C5" s="35" t="s">
        <v>108</v>
      </c>
      <c r="D5" s="35"/>
      <c r="E5" s="35"/>
      <c r="F5" s="34" t="s">
        <v>109</v>
      </c>
      <c r="G5" s="34"/>
      <c r="H5" s="35" t="s">
        <v>110</v>
      </c>
      <c r="I5" s="35"/>
    </row>
    <row r="6" ht="15" customHeight="1" spans="1:11" x14ac:dyDescent="0.25">
      <c r="A6" s="34" t="s">
        <v>111</v>
      </c>
      <c r="B6" s="34"/>
      <c r="C6" s="36">
        <v>46308</v>
      </c>
      <c r="D6" s="36"/>
      <c r="E6" s="36"/>
      <c r="F6" s="34" t="s">
        <v>112</v>
      </c>
      <c r="G6" s="34"/>
      <c r="H6" s="35"/>
      <c r="I6" s="35"/>
      <c r="K6" t="s">
        <v>113</v>
      </c>
    </row>
    <row r="7" ht="15" customHeight="1" spans="1:11" x14ac:dyDescent="0.25">
      <c r="A7" s="34" t="s">
        <v>114</v>
      </c>
      <c r="B7" s="34"/>
      <c r="C7" s="37" t="s">
        <v>39</v>
      </c>
      <c r="D7" s="37"/>
      <c r="E7" s="37"/>
      <c r="F7" s="34" t="s">
        <v>115</v>
      </c>
      <c r="G7" s="34"/>
      <c r="H7" s="35" t="s">
        <v>116</v>
      </c>
      <c r="I7" s="35"/>
      <c r="K7">
        <f>MATCH($C$7,ADW!$1:$1,0)</f>
        <v>40</v>
      </c>
    </row>
    <row r="8" ht="15" customHeight="1" spans="1:9" x14ac:dyDescent="0.25">
      <c r="A8" s="34" t="s">
        <v>117</v>
      </c>
      <c r="B8" s="34"/>
      <c r="C8" s="38" t="s">
        <v>118</v>
      </c>
      <c r="D8" s="38"/>
      <c r="E8" s="38"/>
      <c r="F8" s="34" t="s">
        <v>119</v>
      </c>
      <c r="G8" s="34"/>
      <c r="H8" s="35">
        <v>1</v>
      </c>
      <c r="I8" s="35"/>
    </row>
    <row r="9" ht="15" customHeight="1" spans="1:9" x14ac:dyDescent="0.25">
      <c r="A9" s="34" t="s">
        <v>120</v>
      </c>
      <c r="B9" s="34"/>
      <c r="C9" s="39">
        <f>INDEX(ADW!$6:$6,$K$7+1)</f>
        <v>9440850</v>
      </c>
      <c r="D9" s="39"/>
      <c r="E9" s="39"/>
      <c r="F9" s="34" t="s">
        <v>121</v>
      </c>
      <c r="G9" s="34"/>
      <c r="H9" s="35" t="s">
        <v>122</v>
      </c>
      <c r="I9" s="35"/>
    </row>
    <row r="11" ht="15" customHeight="1" spans="1:9" x14ac:dyDescent="0.25">
      <c r="A11" s="40" t="s">
        <v>123</v>
      </c>
      <c r="B11" s="40"/>
      <c r="C11" s="40"/>
      <c r="D11" s="40"/>
      <c r="E11" s="40"/>
      <c r="F11" s="40"/>
      <c r="G11" s="40"/>
      <c r="H11" s="40"/>
      <c r="I11" s="40"/>
    </row>
    <row r="12" ht="31.5" customHeight="1" spans="1:9" x14ac:dyDescent="0.25">
      <c r="A12" s="41" t="s">
        <v>124</v>
      </c>
      <c r="B12" s="41" t="s">
        <v>125</v>
      </c>
      <c r="C12" s="41" t="s">
        <v>126</v>
      </c>
      <c r="D12" s="41" t="s">
        <v>127</v>
      </c>
      <c r="E12" s="41" t="s">
        <v>128</v>
      </c>
      <c r="F12" s="41" t="s">
        <v>129</v>
      </c>
      <c r="G12" s="41" t="s">
        <v>130</v>
      </c>
      <c r="H12" s="41" t="s">
        <v>131</v>
      </c>
      <c r="I12" s="41" t="s">
        <v>132</v>
      </c>
    </row>
    <row r="13" ht="15" customHeight="1" spans="1:9" x14ac:dyDescent="0.25">
      <c r="A13" s="34" t="s">
        <v>133</v>
      </c>
      <c r="B13" s="34" t="s">
        <v>134</v>
      </c>
      <c r="C13" s="42"/>
      <c r="D13" s="42"/>
      <c r="E13" s="42"/>
      <c r="F13" s="42"/>
      <c r="G13" s="42"/>
      <c r="H13" s="42"/>
      <c r="I13" s="42"/>
    </row>
    <row r="14" ht="15" customHeight="1" spans="1:9" x14ac:dyDescent="0.25">
      <c r="A14" s="43">
        <v>1</v>
      </c>
      <c r="B14" s="44" t="str">
        <f>TRIM(ADW!$A$8)</f>
        <v>Biaya Subcon</v>
      </c>
      <c r="C14" s="45">
        <f>IF($C$9=0,0,D14/$C$9)</f>
        <v>0.736469703469497</v>
      </c>
      <c r="D14" s="46">
        <f>INDEX(ADW!$8:$8,$K$7+1)</f>
        <v>6952900</v>
      </c>
      <c r="E14" s="47">
        <v>1</v>
      </c>
      <c r="F14" s="48">
        <f>ROUND(D14*E14,0)</f>
        <v>6952900</v>
      </c>
      <c r="G14" s="49">
        <v>0</v>
      </c>
      <c r="H14" s="48">
        <f>ROUND(D14,0)-G14-F14</f>
        <v>0</v>
      </c>
      <c r="I14" s="50" t="s">
        <v>135</v>
      </c>
    </row>
    <row r="15" ht="15" customHeight="1" spans="1:9" x14ac:dyDescent="0.25">
      <c r="A15" s="43">
        <v>2</v>
      </c>
      <c r="B15" s="44" t="str">
        <f>TRIM(ADW!$A$9)</f>
        <v>Biaya Permit</v>
      </c>
      <c r="C15" s="45">
        <f>IF($C$9=0,0,D15/$C$9)</f>
        <v>0</v>
      </c>
      <c r="D15" s="46">
        <f>INDEX(ADW!$9:$9,$K$7+1)</f>
        <v>0</v>
      </c>
      <c r="E15" s="47">
        <v>1</v>
      </c>
      <c r="F15" s="48">
        <f>ROUND(D15*E15,0)</f>
        <v>0</v>
      </c>
      <c r="G15" s="49">
        <v>0</v>
      </c>
      <c r="H15" s="48">
        <f>ROUND(D15,0)-G15-F15</f>
        <v>0</v>
      </c>
      <c r="I15" s="50" t="s">
        <v>136</v>
      </c>
    </row>
    <row r="16" ht="15" customHeight="1" spans="1:9" x14ac:dyDescent="0.25">
      <c r="A16" s="43">
        <v>3</v>
      </c>
      <c r="B16" s="44" t="str">
        <f>TRIM(ADW!$A$10)</f>
        <v>Ticket Internal</v>
      </c>
      <c r="C16" s="45">
        <f>IF($C$9=0,0,D16/$C$9)</f>
        <v>0</v>
      </c>
      <c r="D16" s="46">
        <f>INDEX(ADW!$10:$10,$K$7+1)</f>
        <v>0</v>
      </c>
      <c r="E16" s="47">
        <v>1</v>
      </c>
      <c r="F16" s="48">
        <f>ROUND(D16*E16,0)</f>
        <v>0</v>
      </c>
      <c r="G16" s="49">
        <v>0</v>
      </c>
      <c r="H16" s="48">
        <f>ROUND(D16,0)-G16-F16</f>
        <v>0</v>
      </c>
      <c r="I16" s="50" t="s">
        <v>137</v>
      </c>
    </row>
    <row r="17" ht="15" customHeight="1" spans="1:9" x14ac:dyDescent="0.25">
      <c r="A17" s="43">
        <v>4</v>
      </c>
      <c r="B17" s="44" t="str">
        <f>TRIM(ADW!$A$12)</f>
        <v>Pajak</v>
      </c>
      <c r="C17" s="45">
        <f>IF($C$9=0,0,D17/$C$9)</f>
        <v>0.025</v>
      </c>
      <c r="D17" s="46">
        <f>INDEX(ADW!$12:$12,$K$7+1)</f>
        <v>236021.25</v>
      </c>
      <c r="E17" s="47">
        <v>1</v>
      </c>
      <c r="F17" s="48">
        <f>ROUND(D17*E17,0)</f>
        <v>236021</v>
      </c>
      <c r="G17" s="49">
        <v>0</v>
      </c>
      <c r="H17" s="48">
        <f>ROUND(D17,0)-G17-F17</f>
        <v>0</v>
      </c>
      <c r="I17" s="50" t="s">
        <v>138</v>
      </c>
    </row>
    <row r="18" ht="15" customHeight="1" spans="1:9" x14ac:dyDescent="0.25">
      <c r="A18" s="51"/>
      <c r="B18" s="52" t="s">
        <v>139</v>
      </c>
      <c r="C18" s="53">
        <f>SUM(C14:C17)</f>
        <v>0.761469703469497</v>
      </c>
      <c r="D18" s="54">
        <f>SUM(D14:D17)</f>
        <v>7188921.25</v>
      </c>
      <c r="E18" s="51"/>
      <c r="F18" s="54">
        <f>SUM(F14:F17)</f>
        <v>7188921</v>
      </c>
      <c r="G18" s="54">
        <f>SUM(G14:G17)</f>
        <v>0</v>
      </c>
      <c r="H18" s="54">
        <f>SUM(H14:H17)</f>
        <v>0</v>
      </c>
      <c r="I18" s="51"/>
    </row>
    <row r="19" ht="15" customHeight="1" spans="1:9" x14ac:dyDescent="0.25">
      <c r="A19" s="34" t="s">
        <v>140</v>
      </c>
      <c r="B19" s="34" t="s">
        <v>91</v>
      </c>
      <c r="C19" s="42"/>
      <c r="D19" s="42"/>
      <c r="E19" s="42"/>
      <c r="F19" s="42"/>
      <c r="G19" s="42"/>
      <c r="H19" s="42"/>
      <c r="I19" s="42"/>
    </row>
    <row r="20" ht="15" customHeight="1" spans="1:9" x14ac:dyDescent="0.25">
      <c r="A20" s="43">
        <v>1</v>
      </c>
      <c r="B20" s="44" t="str">
        <f>TRIM(ADW!$A$15)</f>
        <v>Indirect Cost</v>
      </c>
      <c r="C20" s="45">
        <f>IF($C$9=0,0,D20/$C$9)</f>
        <v>0.01</v>
      </c>
      <c r="D20" s="46">
        <f>INDEX(ADW!$15:$15,$K$7+1)</f>
        <v>94408.5</v>
      </c>
      <c r="E20" s="47">
        <v>1</v>
      </c>
      <c r="F20" s="48">
        <f>ROUND(D20*E20,0)</f>
        <v>94409</v>
      </c>
      <c r="G20" s="49">
        <v>0</v>
      </c>
      <c r="H20" s="48">
        <f>ROUND(D20,0)-G20-F20</f>
        <v>0</v>
      </c>
      <c r="I20" s="50"/>
    </row>
    <row r="21" ht="15" customHeight="1" spans="1:9" x14ac:dyDescent="0.25">
      <c r="A21" s="43">
        <v>2</v>
      </c>
      <c r="B21" s="44" t="str">
        <f>TRIM(ADW!$A$16)</f>
        <v>Direct Cost</v>
      </c>
      <c r="C21" s="45">
        <f>IF($C$9=0,0,D21/$C$9)</f>
        <v>0.015</v>
      </c>
      <c r="D21" s="46">
        <f>INDEX(ADW!$16:$16,$K$7+1)</f>
        <v>141612.75</v>
      </c>
      <c r="E21" s="47">
        <v>1</v>
      </c>
      <c r="F21" s="48">
        <f>ROUND(D21*E21,0)</f>
        <v>141613</v>
      </c>
      <c r="G21" s="49">
        <v>0</v>
      </c>
      <c r="H21" s="48">
        <f>ROUND(D21,0)-G21-F21</f>
        <v>0</v>
      </c>
      <c r="I21" s="50" t="s">
        <v>141</v>
      </c>
    </row>
    <row r="22" ht="15" customHeight="1" spans="1:9" x14ac:dyDescent="0.25">
      <c r="A22" s="43">
        <v>3</v>
      </c>
      <c r="B22" s="44" t="str">
        <f>TRIM(ADW!$A$17)</f>
        <v>Operational Kantor</v>
      </c>
      <c r="C22" s="45">
        <f>IF($C$9=0,0,D22/$C$9)</f>
        <v>0.01</v>
      </c>
      <c r="D22" s="46">
        <f>INDEX(ADW!$17:$17,$K$7+1)</f>
        <v>94408.5</v>
      </c>
      <c r="E22" s="47">
        <v>1</v>
      </c>
      <c r="F22" s="48">
        <f>ROUND(D22*E22,0)</f>
        <v>94409</v>
      </c>
      <c r="G22" s="49">
        <v>0</v>
      </c>
      <c r="H22" s="48">
        <f>ROUND(D22,0)-G22-F22</f>
        <v>0</v>
      </c>
      <c r="I22" s="50"/>
    </row>
    <row r="23" ht="15" customHeight="1" spans="1:9" x14ac:dyDescent="0.25">
      <c r="A23" s="43">
        <v>4</v>
      </c>
      <c r="B23" s="44" t="str">
        <f>TRIM(ADW!$A$18)</f>
        <v>Motor dan Mobil</v>
      </c>
      <c r="C23" s="45">
        <f>IF($C$9=0,0,D23/$C$9)</f>
        <v>0</v>
      </c>
      <c r="D23" s="46">
        <f>INDEX(ADW!$18:$18,$K$7+1)</f>
        <v>0</v>
      </c>
      <c r="E23" s="47">
        <v>1</v>
      </c>
      <c r="F23" s="48">
        <f>ROUND(D23*E23,0)</f>
        <v>0</v>
      </c>
      <c r="G23" s="49">
        <v>0</v>
      </c>
      <c r="H23" s="48">
        <f>ROUND(D23,0)-G23-F23</f>
        <v>0</v>
      </c>
      <c r="I23" s="50" t="s">
        <v>142</v>
      </c>
    </row>
    <row r="24" ht="15" customHeight="1" spans="1:9" x14ac:dyDescent="0.25">
      <c r="A24" s="43">
        <v>5</v>
      </c>
      <c r="B24" s="44" t="str">
        <f>TRIM(ADW!$A$19)</f>
        <v>Homebase</v>
      </c>
      <c r="C24" s="45">
        <f>IF($C$9=0,0,D24/$C$9)</f>
        <v>0</v>
      </c>
      <c r="D24" s="46">
        <f>INDEX(ADW!$19:$19,$K$7+1)</f>
        <v>0</v>
      </c>
      <c r="E24" s="47">
        <v>1</v>
      </c>
      <c r="F24" s="48">
        <f>ROUND(D24*E24,0)</f>
        <v>0</v>
      </c>
      <c r="G24" s="49">
        <v>0</v>
      </c>
      <c r="H24" s="48">
        <f>ROUND(D24,0)-G24-F24</f>
        <v>0</v>
      </c>
      <c r="I24" s="50"/>
    </row>
    <row r="25" ht="15" customHeight="1" spans="1:9" x14ac:dyDescent="0.25">
      <c r="A25" s="43">
        <v>6</v>
      </c>
      <c r="B25" s="44" t="str">
        <f>TRIM(ADW!$A$20)</f>
        <v>Allowance Kunjungan include ops permit</v>
      </c>
      <c r="C25" s="45">
        <f>IF($C$9=0,0,D25/$C$9)</f>
        <v>0.01</v>
      </c>
      <c r="D25" s="46">
        <f>INDEX(ADW!$20:$20,$K$7+1)</f>
        <v>94408.5</v>
      </c>
      <c r="E25" s="47">
        <v>1</v>
      </c>
      <c r="F25" s="48">
        <f>ROUND(D25*E25,0)</f>
        <v>94409</v>
      </c>
      <c r="G25" s="49">
        <v>0</v>
      </c>
      <c r="H25" s="48">
        <f>ROUND(D25,0)-G25-F25</f>
        <v>0</v>
      </c>
      <c r="I25" s="50" t="s">
        <v>143</v>
      </c>
    </row>
    <row r="26" ht="15" customHeight="1" spans="1:9" x14ac:dyDescent="0.25">
      <c r="A26" s="43">
        <v>7</v>
      </c>
      <c r="B26" s="44" t="str">
        <f>TRIM(ADW!$A$21)</f>
        <v>Marketing cost</v>
      </c>
      <c r="C26" s="45">
        <f>IF($C$9=0,0,D26/$C$9)</f>
        <v>0.01</v>
      </c>
      <c r="D26" s="46">
        <f>INDEX(ADW!$21:$21,$K$7+1)</f>
        <v>94408.5</v>
      </c>
      <c r="E26" s="47">
        <v>1</v>
      </c>
      <c r="F26" s="48">
        <f>ROUND(D26*E26,0)</f>
        <v>94409</v>
      </c>
      <c r="G26" s="49">
        <v>0</v>
      </c>
      <c r="H26" s="48">
        <f>ROUND(D26,0)-G26-F26</f>
        <v>0</v>
      </c>
      <c r="I26" s="50"/>
    </row>
    <row r="27" ht="15" customHeight="1" spans="1:9" x14ac:dyDescent="0.25">
      <c r="A27" s="51"/>
      <c r="B27" s="52" t="s">
        <v>144</v>
      </c>
      <c r="C27" s="55">
        <f>SUM(C20:C26)</f>
        <v>0.055</v>
      </c>
      <c r="D27" s="54">
        <f>SUM(D20:D26)</f>
        <v>519246.75</v>
      </c>
      <c r="E27" s="51"/>
      <c r="F27" s="54">
        <f>SUM(F20:F26)</f>
        <v>519249</v>
      </c>
      <c r="G27" s="54">
        <f>SUM(G20:G26)</f>
        <v>0</v>
      </c>
      <c r="H27" s="54">
        <f>SUM(H20:H26)</f>
        <v>0</v>
      </c>
      <c r="I27" s="51"/>
    </row>
    <row r="28" ht="15" customHeight="1" spans="1:9" x14ac:dyDescent="0.25">
      <c r="A28" s="56"/>
      <c r="B28" s="40" t="s">
        <v>145</v>
      </c>
      <c r="C28" s="57">
        <f>C18+C27</f>
        <v>0.816469703469497</v>
      </c>
      <c r="D28" s="58">
        <f>D18+D27</f>
        <v>7708168</v>
      </c>
      <c r="E28" s="56"/>
      <c r="F28" s="58">
        <f>F18+F27</f>
        <v>7708170</v>
      </c>
      <c r="G28" s="58">
        <f>G18+G27</f>
        <v>0</v>
      </c>
      <c r="H28" s="58">
        <f>H18+H27</f>
        <v>0</v>
      </c>
      <c r="I28" s="56"/>
    </row>
    <row r="30" ht="15" customHeight="1" spans="1:11" x14ac:dyDescent="0.25">
      <c r="A30" s="34" t="s">
        <v>146</v>
      </c>
      <c r="B30" s="34"/>
      <c r="C30" s="34"/>
      <c r="D30" s="34"/>
      <c r="E30" s="34"/>
      <c r="F30" s="34"/>
      <c r="G30" s="34"/>
      <c r="H30" s="34"/>
      <c r="I30" s="34"/>
      <c r="K30">
        <f>ROUND(F28,0)</f>
        <v>7708170</v>
      </c>
    </row>
    <row r="31" ht="15" customHeight="1" spans="1:11" x14ac:dyDescent="0.25">
      <c r="A31" s="59" t="str">
        <f>"Beban bunga dana investor ("&amp;TEXT(Rekap!$C$4,"0%")&amp;" × dana investor)"</f>
        <v>Beban bunga dana investor (10% × dana investor)</v>
      </c>
      <c r="B31" s="59"/>
      <c r="C31" s="59"/>
      <c r="D31" s="46">
        <f>INDEX(ADW!$11:$11,$K$7+1)</f>
        <v>865225.3</v>
      </c>
      <c r="K31">
        <f>INT(K30/1000000000)</f>
        <v>0</v>
      </c>
    </row>
    <row r="32" ht="15" customHeight="1" spans="1:11" x14ac:dyDescent="0.25">
      <c r="A32" s="59" t="s">
        <v>147</v>
      </c>
      <c r="B32" s="59"/>
      <c r="C32" s="59"/>
      <c r="D32" s="46">
        <f>INDEX(ADW!$13:$13,$K$7+1)</f>
        <v>944085</v>
      </c>
      <c r="K32">
        <f>INT(MOD(K30,1000000000)/1000000)</f>
        <v>7</v>
      </c>
    </row>
    <row r="33" ht="15" customHeight="1" spans="1:11" x14ac:dyDescent="0.25">
      <c r="A33" s="59" t="s">
        <v>148</v>
      </c>
      <c r="B33" s="59"/>
      <c r="C33" s="59"/>
      <c r="D33" s="46">
        <f>INDEX(ADW!$23:$23,$K$7+1)</f>
        <v>-76628.3000000008</v>
      </c>
      <c r="K33">
        <f>INT(MOD(K30,1000000)/1000)</f>
        <v>708</v>
      </c>
    </row>
    <row r="34" ht="15" customHeight="1" spans="1:11" x14ac:dyDescent="0.25">
      <c r="A34" s="59" t="s">
        <v>149</v>
      </c>
      <c r="B34" s="59"/>
      <c r="C34" s="59"/>
      <c r="D34" s="60">
        <f>INDEX(ADW!$23:$23,$K$7)</f>
        <v>-0.00811667381644669</v>
      </c>
      <c r="K34">
        <f>MOD(K30,1000)</f>
        <v>170</v>
      </c>
    </row>
    <row r="35" ht="14.25" customHeight="1" spans="11:11" x14ac:dyDescent="0.25">
      <c r="K35" t="str">
        <f>TRIM(IF(K31&gt;0,VLOOKUP(K31,_terbilang!$A$1:$B$999,2,FALSE())&amp;" milyar ","")&amp;IF(K32&gt;0,VLOOKUP(K32,_terbilang!$A$1:$B$999,2,FALSE())&amp;" juta ","")&amp;IF(K33=1,"seribu ",IF(K33&gt;0,VLOOKUP(K33,_terbilang!$A$1:$B$999,2,FALSE())&amp;" ribu ",""))&amp;IF(K34&gt;0,VLOOKUP(K34,_terbilang!$A$1:$B$999,2,FALSE()),""))&amp;" rupiah"</f>
        <v>tujuh juta tujuh ratus delapan ribu seratus tujuh puluh rupiah</v>
      </c>
    </row>
    <row r="36" ht="15" customHeight="1" spans="1:9" x14ac:dyDescent="0.25">
      <c r="A36" s="34" t="s">
        <v>150</v>
      </c>
      <c r="B36" s="34"/>
      <c r="C36" s="61" t="str">
        <f>IF(K30=0,"Nol rupiah",UPPER(LEFT(K35,1))&amp;MID(K35,2,500))</f>
        <v>Tujuh juta tujuh ratus delapan ribu seratus tujuh puluh rupiah</v>
      </c>
      <c r="D36" s="61"/>
      <c r="E36" s="61"/>
      <c r="F36" s="61"/>
      <c r="G36" s="61"/>
      <c r="H36" s="61"/>
      <c r="I36" s="61"/>
    </row>
    <row r="37" ht="15" customHeight="1" spans="1:9" x14ac:dyDescent="0.25">
      <c r="A37" s="62" t="s">
        <v>151</v>
      </c>
      <c r="B37" s="62"/>
      <c r="C37" s="63" t="str">
        <f>"Modal kerja pelaksanaan pekerjaan FTTH "&amp;C7&amp;" untuk "&amp;C8&amp;"."</f>
        <v>Modal kerja pelaksanaan pekerjaan FTTH WANASARI RW 01 SUBANG untuk PT ADW.</v>
      </c>
      <c r="D37" s="63"/>
      <c r="E37" s="63"/>
      <c r="F37" s="63"/>
      <c r="G37" s="63"/>
      <c r="H37" s="63"/>
      <c r="I37" s="63"/>
    </row>
    <row r="38" ht="15" customHeight="1" spans="1:9" x14ac:dyDescent="0.25">
      <c r="A38" s="62"/>
      <c r="B38" s="62"/>
      <c r="C38" s="63"/>
      <c r="D38" s="63"/>
      <c r="E38" s="63"/>
      <c r="F38" s="63"/>
      <c r="G38" s="63"/>
      <c r="H38" s="63"/>
      <c r="I38" s="63"/>
    </row>
    <row r="39" ht="15" customHeight="1" spans="1:9" x14ac:dyDescent="0.25">
      <c r="A39" s="62"/>
      <c r="B39" s="62"/>
      <c r="C39" s="63"/>
      <c r="D39" s="63"/>
      <c r="E39" s="63"/>
      <c r="F39" s="63"/>
      <c r="G39" s="63"/>
      <c r="H39" s="63"/>
      <c r="I39" s="63"/>
    </row>
    <row r="41" ht="15" customHeight="1" spans="1:9" x14ac:dyDescent="0.25">
      <c r="A41" s="64" t="s">
        <v>152</v>
      </c>
      <c r="B41" s="64"/>
      <c r="C41" s="64"/>
      <c r="D41" s="64"/>
      <c r="E41" s="64"/>
      <c r="F41" s="64"/>
      <c r="G41" s="64"/>
      <c r="H41" s="64"/>
      <c r="I41" s="64"/>
    </row>
    <row r="42" ht="15" customHeight="1" spans="1:5" x14ac:dyDescent="0.25">
      <c r="A42" s="34" t="s">
        <v>153</v>
      </c>
      <c r="B42" s="34"/>
      <c r="C42" s="65" t="s">
        <v>154</v>
      </c>
      <c r="D42" s="65"/>
      <c r="E42" s="65"/>
    </row>
    <row r="43" ht="15" customHeight="1" spans="1:5" x14ac:dyDescent="0.25">
      <c r="A43" s="34" t="s">
        <v>155</v>
      </c>
      <c r="B43" s="34"/>
      <c r="C43" s="65" t="s">
        <v>156</v>
      </c>
      <c r="D43" s="65"/>
      <c r="E43" s="65"/>
    </row>
    <row r="44" ht="15" customHeight="1" spans="1:5" x14ac:dyDescent="0.25">
      <c r="A44" s="34" t="s">
        <v>157</v>
      </c>
      <c r="B44" s="34"/>
      <c r="C44" s="65" t="s">
        <v>158</v>
      </c>
      <c r="D44" s="65"/>
      <c r="E44" s="65"/>
    </row>
    <row r="46" ht="15" customHeight="1" spans="1:9" x14ac:dyDescent="0.25">
      <c r="A46" s="64" t="s">
        <v>159</v>
      </c>
      <c r="B46" s="64"/>
      <c r="C46" s="64"/>
      <c r="D46" s="64"/>
      <c r="E46" s="64"/>
      <c r="F46" s="64"/>
      <c r="G46" s="64"/>
      <c r="H46" s="64"/>
      <c r="I46" s="64"/>
    </row>
    <row r="47" ht="15" customHeight="1" spans="1:9" x14ac:dyDescent="0.25">
      <c r="A47" s="66" t="s">
        <v>160</v>
      </c>
      <c r="B47" s="59" t="s">
        <v>161</v>
      </c>
      <c r="C47" s="59"/>
      <c r="D47" s="59"/>
      <c r="E47" s="66" t="s">
        <v>160</v>
      </c>
      <c r="F47" s="59" t="str">
        <f>"PO / SPK dengan "&amp;C8</f>
        <v>PO / SPK dengan PT ADW</v>
      </c>
      <c r="G47" s="59"/>
      <c r="H47" s="59"/>
      <c r="I47" s="59"/>
    </row>
    <row r="48" ht="15" customHeight="1" spans="1:9" x14ac:dyDescent="0.25">
      <c r="A48" s="66" t="s">
        <v>160</v>
      </c>
      <c r="B48" s="59" t="s">
        <v>162</v>
      </c>
      <c r="C48" s="59"/>
      <c r="D48" s="59"/>
      <c r="E48" s="66" t="s">
        <v>160</v>
      </c>
      <c r="F48" s="59" t="s">
        <v>163</v>
      </c>
      <c r="G48" s="59"/>
      <c r="H48" s="59"/>
      <c r="I48" s="59"/>
    </row>
    <row r="49" ht="15" customHeight="1" spans="1:9" x14ac:dyDescent="0.25">
      <c r="A49" s="66" t="s">
        <v>160</v>
      </c>
      <c r="B49" s="59" t="s">
        <v>164</v>
      </c>
      <c r="C49" s="59"/>
      <c r="D49" s="59"/>
      <c r="E49" s="66" t="s">
        <v>165</v>
      </c>
      <c r="F49" s="59" t="s">
        <v>166</v>
      </c>
      <c r="G49" s="59"/>
      <c r="H49" s="59"/>
      <c r="I49" s="59"/>
    </row>
    <row r="51" ht="15" customHeight="1" spans="1:9" x14ac:dyDescent="0.25">
      <c r="A51" s="64" t="s">
        <v>167</v>
      </c>
      <c r="B51" s="64"/>
      <c r="C51" s="64"/>
      <c r="D51" s="64"/>
      <c r="E51" s="64"/>
      <c r="F51" s="64"/>
      <c r="G51" s="64"/>
      <c r="H51" s="64"/>
      <c r="I51" s="64"/>
    </row>
    <row r="52" ht="15" customHeight="1" spans="1:9" x14ac:dyDescent="0.25">
      <c r="A52" s="67" t="s">
        <v>168</v>
      </c>
      <c r="B52" s="67"/>
      <c r="C52" s="67" t="s">
        <v>169</v>
      </c>
      <c r="D52" s="67"/>
      <c r="E52" s="67" t="s">
        <v>170</v>
      </c>
      <c r="F52" s="67"/>
      <c r="G52" s="67"/>
      <c r="H52" s="67" t="s">
        <v>171</v>
      </c>
      <c r="I52" s="67"/>
    </row>
    <row r="53" ht="15" customHeight="1" spans="1:9" x14ac:dyDescent="0.25">
      <c r="A53" s="59"/>
      <c r="B53" s="59"/>
      <c r="C53" s="59"/>
      <c r="D53" s="59"/>
      <c r="E53" s="59"/>
      <c r="F53" s="59"/>
      <c r="G53" s="59"/>
      <c r="H53" s="59"/>
      <c r="I53" s="59"/>
    </row>
    <row r="54" ht="15" customHeight="1" spans="1:9" x14ac:dyDescent="0.25">
      <c r="A54" s="59"/>
      <c r="B54" s="59"/>
      <c r="C54" s="59"/>
      <c r="D54" s="59"/>
      <c r="E54" s="59"/>
      <c r="F54" s="59"/>
      <c r="G54" s="59"/>
      <c r="H54" s="59"/>
      <c r="I54" s="59"/>
    </row>
    <row r="55" ht="15" customHeight="1" spans="1:9" x14ac:dyDescent="0.25">
      <c r="A55" s="59"/>
      <c r="B55" s="59"/>
      <c r="C55" s="59"/>
      <c r="D55" s="59"/>
      <c r="E55" s="59"/>
      <c r="F55" s="59"/>
      <c r="G55" s="59"/>
      <c r="H55" s="59"/>
      <c r="I55" s="59"/>
    </row>
    <row r="56" ht="15" customHeight="1" spans="1:9" x14ac:dyDescent="0.25">
      <c r="A56" s="59"/>
      <c r="B56" s="59"/>
      <c r="C56" s="59"/>
      <c r="D56" s="59"/>
      <c r="E56" s="59"/>
      <c r="F56" s="59"/>
      <c r="G56" s="59"/>
      <c r="H56" s="59"/>
      <c r="I56" s="59"/>
    </row>
    <row r="57" ht="15" customHeight="1" spans="1:9" x14ac:dyDescent="0.25">
      <c r="A57" s="50" t="s">
        <v>172</v>
      </c>
      <c r="B57" s="50"/>
      <c r="C57" s="50" t="s">
        <v>173</v>
      </c>
      <c r="D57" s="50"/>
      <c r="E57" s="50" t="s">
        <v>173</v>
      </c>
      <c r="F57" s="50"/>
      <c r="G57" s="50"/>
      <c r="H57" s="50" t="s">
        <v>173</v>
      </c>
      <c r="I57" s="50"/>
    </row>
    <row r="58" ht="15" customHeight="1" spans="1:9" x14ac:dyDescent="0.25">
      <c r="A58" s="50" t="s">
        <v>174</v>
      </c>
      <c r="B58" s="50"/>
      <c r="C58" s="50" t="s">
        <v>175</v>
      </c>
      <c r="D58" s="50"/>
      <c r="E58" s="50" t="s">
        <v>175</v>
      </c>
      <c r="F58" s="50"/>
      <c r="G58" s="50"/>
      <c r="H58" s="50" t="s">
        <v>175</v>
      </c>
      <c r="I58" s="50"/>
    </row>
    <row r="60" ht="13.5" customHeight="1" spans="1:9" x14ac:dyDescent="0.25">
      <c r="A60" s="68" t="s">
        <v>99</v>
      </c>
      <c r="B60" s="68"/>
      <c r="C60" s="68"/>
      <c r="D60" s="68"/>
      <c r="E60" s="68"/>
      <c r="F60" s="68"/>
      <c r="G60" s="68"/>
      <c r="H60" s="68"/>
      <c r="I60" s="68"/>
    </row>
    <row r="61" ht="13.5" customHeight="1" spans="1:9" x14ac:dyDescent="0.25">
      <c r="A61" s="69" t="s">
        <v>176</v>
      </c>
      <c r="B61" s="69"/>
      <c r="C61" s="69"/>
      <c r="D61" s="69"/>
      <c r="E61" s="69"/>
      <c r="F61" s="69"/>
      <c r="G61" s="69"/>
      <c r="H61" s="69"/>
      <c r="I61" s="69"/>
    </row>
    <row r="62" ht="24" customHeight="1" spans="1:9" x14ac:dyDescent="0.25">
      <c r="A62" s="69" t="s">
        <v>177</v>
      </c>
      <c r="B62" s="69"/>
      <c r="C62" s="69"/>
      <c r="D62" s="69"/>
      <c r="E62" s="69"/>
      <c r="F62" s="69"/>
      <c r="G62" s="69"/>
      <c r="H62" s="69"/>
      <c r="I62" s="69"/>
    </row>
    <row r="63" ht="24" customHeight="1" spans="1:9" x14ac:dyDescent="0.25">
      <c r="A63" s="69" t="s">
        <v>178</v>
      </c>
      <c r="B63" s="69"/>
      <c r="C63" s="69"/>
      <c r="D63" s="69"/>
      <c r="E63" s="69"/>
      <c r="F63" s="69"/>
      <c r="G63" s="69"/>
      <c r="H63" s="69"/>
      <c r="I63" s="69"/>
    </row>
    <row r="64" ht="24" customHeight="1" spans="1:9" x14ac:dyDescent="0.25">
      <c r="A64" s="69" t="s">
        <v>179</v>
      </c>
      <c r="B64" s="69"/>
      <c r="C64" s="69"/>
      <c r="D64" s="69"/>
      <c r="E64" s="69"/>
      <c r="F64" s="69"/>
      <c r="G64" s="69"/>
      <c r="H64" s="69"/>
      <c r="I64" s="69"/>
    </row>
  </sheetData>
  <mergeCells count="68">
    <mergeCell ref="A1:I1"/>
    <mergeCell ref="A2:I2"/>
    <mergeCell ref="A5:B5"/>
    <mergeCell ref="C5:E5"/>
    <mergeCell ref="F5:G5"/>
    <mergeCell ref="H5:I5"/>
    <mergeCell ref="A6:B6"/>
    <mergeCell ref="C6:E6"/>
    <mergeCell ref="F6:G6"/>
    <mergeCell ref="H6:I6"/>
    <mergeCell ref="A7:B7"/>
    <mergeCell ref="C7:E7"/>
    <mergeCell ref="F7:G7"/>
    <mergeCell ref="H7:I7"/>
    <mergeCell ref="A8:B8"/>
    <mergeCell ref="C8:E8"/>
    <mergeCell ref="F8:G8"/>
    <mergeCell ref="H8:I8"/>
    <mergeCell ref="A9:B9"/>
    <mergeCell ref="C9:E9"/>
    <mergeCell ref="F9:G9"/>
    <mergeCell ref="H9:I9"/>
    <mergeCell ref="A11:I11"/>
    <mergeCell ref="A30:I30"/>
    <mergeCell ref="A31:C31"/>
    <mergeCell ref="A32:C32"/>
    <mergeCell ref="A33:C33"/>
    <mergeCell ref="A34:C34"/>
    <mergeCell ref="A36:B36"/>
    <mergeCell ref="C36:I36"/>
    <mergeCell ref="A37:B39"/>
    <mergeCell ref="C37:I39"/>
    <mergeCell ref="A41:I41"/>
    <mergeCell ref="A42:B42"/>
    <mergeCell ref="C42:E42"/>
    <mergeCell ref="A43:B43"/>
    <mergeCell ref="C43:E43"/>
    <mergeCell ref="A44:B44"/>
    <mergeCell ref="C44:E44"/>
    <mergeCell ref="A46:I46"/>
    <mergeCell ref="B47:D47"/>
    <mergeCell ref="F47:I47"/>
    <mergeCell ref="B48:D48"/>
    <mergeCell ref="F48:I48"/>
    <mergeCell ref="B49:D49"/>
    <mergeCell ref="F49:I49"/>
    <mergeCell ref="A51:I51"/>
    <mergeCell ref="A52:B52"/>
    <mergeCell ref="C52:D52"/>
    <mergeCell ref="E52:G52"/>
    <mergeCell ref="H52:I52"/>
    <mergeCell ref="A53:B56"/>
    <mergeCell ref="C53:D56"/>
    <mergeCell ref="E53:G56"/>
    <mergeCell ref="H53:I56"/>
    <mergeCell ref="A57:B57"/>
    <mergeCell ref="C57:D57"/>
    <mergeCell ref="E57:G57"/>
    <mergeCell ref="H57:I57"/>
    <mergeCell ref="A58:B58"/>
    <mergeCell ref="C58:D58"/>
    <mergeCell ref="E58:G58"/>
    <mergeCell ref="H58:I58"/>
    <mergeCell ref="A60:I60"/>
    <mergeCell ref="A61:I61"/>
    <mergeCell ref="A62:I62"/>
    <mergeCell ref="A63:I63"/>
    <mergeCell ref="A64:I64"/>
  </mergeCells>
  <dataValidations count="1">
    <dataValidation type="list" errorStyle="stop" sqref="C7">
      <formula1>_lists!$A$2:$A$32</formula1>
      <formula2>0</formula2>
    </dataValidation>
  </dataValidations>
  <pageMargins left="0.4" right="0.4" top="1" bottom="1" header="0.511811023622047" footer="0.511811023622047"/>
  <pageSetup paperSize="9" orientation="portrait" horizontalDpi="300" verticalDpi="300" scale="100" fitToWidth="1" fitToHeight="0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 zoomScale="100" zoomScaleNormal="100" view="normal">
      <pane xSplit="3" ySplit="3" topLeftCell="D4" activePane="bottomRight" state="frozen"/>
      <selection pane="bottomRight" activeCell="A1" sqref="A1"/>
    </sheetView>
  </sheetViews>
  <sheetFormatPr defaultRowHeight="15" outlineLevelRow="0" outlineLevelCol="0" x14ac:dyDescent="0" defaultColWidth="8.6796875"/>
  <cols>
    <col min="1" max="1" width="40" customWidth="1"/>
    <col min="3" max="3" width="17" customWidth="1"/>
    <col min="5" max="5" width="17" customWidth="1"/>
    <col min="7" max="7" width="17" customWidth="1"/>
    <col min="9" max="9" width="17" customWidth="1"/>
  </cols>
  <sheetData>
    <row r="1" ht="31.5" customHeight="1" spans="1:9" x14ac:dyDescent="0.25">
      <c r="A1" s="13" t="s">
        <v>180</v>
      </c>
      <c r="B1" s="14" t="s">
        <v>181</v>
      </c>
      <c r="C1" s="14"/>
      <c r="D1" s="14" t="s">
        <v>182</v>
      </c>
      <c r="E1" s="14"/>
      <c r="F1" s="14" t="s">
        <v>183</v>
      </c>
      <c r="G1" s="14"/>
      <c r="H1" s="14" t="s">
        <v>184</v>
      </c>
      <c r="I1" s="14"/>
    </row>
    <row r="2" ht="48" customHeight="1" spans="1:9" x14ac:dyDescent="0.25">
      <c r="A2" s="13"/>
      <c r="B2" s="15"/>
      <c r="C2" s="15"/>
      <c r="D2" s="15" t="s">
        <v>185</v>
      </c>
      <c r="E2" s="15"/>
      <c r="F2" s="15" t="s">
        <v>186</v>
      </c>
      <c r="G2" s="15"/>
      <c r="H2" s="15" t="s">
        <v>187</v>
      </c>
      <c r="I2" s="15"/>
    </row>
    <row r="3" ht="15" customHeight="1" spans="1:9" x14ac:dyDescent="0.25">
      <c r="A3" s="13"/>
      <c r="B3" s="6" t="s">
        <v>81</v>
      </c>
      <c r="C3" s="6" t="s">
        <v>82</v>
      </c>
      <c r="D3" s="6" t="s">
        <v>81</v>
      </c>
      <c r="E3" s="6" t="s">
        <v>82</v>
      </c>
      <c r="F3" s="6" t="s">
        <v>81</v>
      </c>
      <c r="G3" s="6" t="s">
        <v>82</v>
      </c>
      <c r="H3" s="6" t="s">
        <v>81</v>
      </c>
      <c r="I3" s="6" t="s">
        <v>82</v>
      </c>
    </row>
    <row r="4" ht="18" customHeight="1" spans="1:9" x14ac:dyDescent="0.25">
      <c r="A4" s="16" t="s">
        <v>83</v>
      </c>
      <c r="B4" s="17"/>
      <c r="C4" s="18">
        <f>SUMIF($D$3:$I$3,"Rp",$D4:$I4)</f>
        <v>185454823</v>
      </c>
      <c r="D4" s="19"/>
      <c r="E4" s="20">
        <v>108940677</v>
      </c>
      <c r="F4" s="19"/>
      <c r="G4" s="20">
        <v>34882758</v>
      </c>
      <c r="H4" s="19"/>
      <c r="I4" s="20">
        <v>41631388</v>
      </c>
    </row>
    <row r="5" ht="18" customHeight="1" spans="1:9" x14ac:dyDescent="0.25">
      <c r="A5" s="16" t="s">
        <v>84</v>
      </c>
      <c r="B5" s="17"/>
      <c r="C5" s="18">
        <f>SUMIF($D$3:$I$3,"Rp",$D5:$I5)</f>
        <v>51000000</v>
      </c>
      <c r="D5" s="19"/>
      <c r="E5" s="20">
        <v>37000000</v>
      </c>
      <c r="F5" s="19"/>
      <c r="G5" s="20">
        <v>9000000</v>
      </c>
      <c r="H5" s="19"/>
      <c r="I5" s="20">
        <v>5000000</v>
      </c>
    </row>
    <row r="6" ht="18" customHeight="1" spans="1:9" x14ac:dyDescent="0.25">
      <c r="A6" s="21" t="s">
        <v>9</v>
      </c>
      <c r="B6" s="17"/>
      <c r="C6" s="18">
        <f>SUMIF($D$3:$I$3,"Rp",$D6:$I6)</f>
        <v>236454823</v>
      </c>
      <c r="D6" s="19"/>
      <c r="E6" s="18">
        <f>E4+E5</f>
        <v>145940677</v>
      </c>
      <c r="F6" s="19"/>
      <c r="G6" s="18">
        <f>G4+G5</f>
        <v>43882758</v>
      </c>
      <c r="H6" s="19"/>
      <c r="I6" s="18">
        <f>I4+I5</f>
        <v>46631388</v>
      </c>
    </row>
    <row r="7" ht="18" customHeight="1" spans="1:9" x14ac:dyDescent="0.25">
      <c r="A7" s="22" t="s">
        <v>85</v>
      </c>
      <c r="B7" s="23">
        <f>IF(C6=0,0,C7/C6)</f>
        <v>0.958145470517639</v>
      </c>
      <c r="C7" s="24">
        <f>SUMIF($D$3:$I$3,"Rp",$D7:$I7)</f>
        <v>226558117.6395</v>
      </c>
      <c r="D7" s="23">
        <f>IF(E6=0,0,E7/E6)</f>
        <v>0.954922824844098</v>
      </c>
      <c r="E7" s="24">
        <f>E8+E9+E10+E12+IF(Rekap!$C$5="Ya",E13,0)+SUM(E15:E21)</f>
        <v>139362083.5405</v>
      </c>
      <c r="F7" s="23">
        <f>IF(G6=0,0,G7/G6)</f>
        <v>0.988232889259148</v>
      </c>
      <c r="G7" s="24">
        <f>G8+G9+G10+G12+IF(Rekap!$C$5="Ya",G13,0)+SUM(G15:G21)</f>
        <v>43366384.727</v>
      </c>
      <c r="H7" s="23">
        <f>IF(I6=0,0,I7/I6)</f>
        <v>0.939917322898474</v>
      </c>
      <c r="I7" s="24">
        <f>I8+I9+I10+I12+IF(Rekap!$C$5="Ya",I13,0)+SUM(I15:I21)</f>
        <v>43829649.372</v>
      </c>
    </row>
    <row r="8" ht="18" customHeight="1" spans="1:9" x14ac:dyDescent="0.25">
      <c r="A8" s="16" t="s">
        <v>86</v>
      </c>
      <c r="B8" s="25">
        <f>IF(C4=0,0,C8/C4)</f>
        <v>0.631924578904049</v>
      </c>
      <c r="C8" s="26">
        <f>SUMIF($D$3:$I$3,"Rp",$D8:$I8)</f>
        <v>117193460.93</v>
      </c>
      <c r="D8" s="25">
        <f>IF(E$4=0,0,E8/E$4)</f>
        <v>0.662905680676099</v>
      </c>
      <c r="E8" s="20">
        <v>72217393.64</v>
      </c>
      <c r="F8" s="25">
        <f>IF(G$4=0,0,G8/G$4)</f>
        <v>0.573269874188274</v>
      </c>
      <c r="G8" s="20">
        <v>19997234.29</v>
      </c>
      <c r="H8" s="25">
        <f>IF(I$4=0,0,I8/I$4)</f>
        <v>0.600000004804068</v>
      </c>
      <c r="I8" s="20">
        <v>24978833</v>
      </c>
    </row>
    <row r="9" ht="18" customHeight="1" spans="1:9" x14ac:dyDescent="0.25">
      <c r="A9" s="16" t="s">
        <v>87</v>
      </c>
      <c r="B9" s="25">
        <f>IF(C4=0,0,C9/C4)</f>
        <v>0.274999588444243</v>
      </c>
      <c r="C9" s="26">
        <f>SUMIF($D$3:$I$3,"Rp",$D9:$I9)</f>
        <v>51000000</v>
      </c>
      <c r="D9" s="25">
        <f>IF(E$5=0,0,E9/E$5)</f>
        <v>1</v>
      </c>
      <c r="E9" s="20">
        <v>37000000</v>
      </c>
      <c r="F9" s="25">
        <f>IF(G$5=0,0,G9/G$5)</f>
        <v>1</v>
      </c>
      <c r="G9" s="20">
        <v>9000000</v>
      </c>
      <c r="H9" s="25">
        <f>IF(I$5=0,0,I9/I$5)</f>
        <v>1</v>
      </c>
      <c r="I9" s="20">
        <v>5000000</v>
      </c>
    </row>
    <row r="10" ht="18" customHeight="1" spans="1:9" x14ac:dyDescent="0.25">
      <c r="A10" s="16" t="s">
        <v>88</v>
      </c>
      <c r="B10" s="25">
        <f>IF(C4=0,0,C10/C4)</f>
        <v>0</v>
      </c>
      <c r="C10" s="26">
        <f>SUMIF($D$3:$I$3,"Rp",$D10:$I10)</f>
        <v>0</v>
      </c>
      <c r="D10" s="27">
        <v>0</v>
      </c>
      <c r="E10" s="26">
        <f>D10*E$4</f>
        <v>0</v>
      </c>
      <c r="F10" s="27">
        <v>0</v>
      </c>
      <c r="G10" s="26">
        <f>F10*G$4</f>
        <v>0</v>
      </c>
      <c r="H10" s="27">
        <v>0</v>
      </c>
      <c r="I10" s="26">
        <f>H10*I$4</f>
        <v>0</v>
      </c>
    </row>
    <row r="11" ht="18" customHeight="1" spans="1:9" x14ac:dyDescent="0.25">
      <c r="A11" s="16" t="s">
        <v>11</v>
      </c>
      <c r="B11" s="25">
        <f>IF(C7=0,0,C11/C7)</f>
        <v>0.1</v>
      </c>
      <c r="C11" s="26">
        <f>SUMIF($D$3:$I$3,"Rp",$D11:$I11)</f>
        <v>22655811.76395</v>
      </c>
      <c r="D11" s="25">
        <f>Rekap!$C$4</f>
        <v>0.1</v>
      </c>
      <c r="E11" s="26">
        <f>D11*E$7</f>
        <v>13936208.35405</v>
      </c>
      <c r="F11" s="25">
        <f>Rekap!$C$4</f>
        <v>0.1</v>
      </c>
      <c r="G11" s="26">
        <f>F11*G$7</f>
        <v>4336638.4727</v>
      </c>
      <c r="H11" s="25">
        <f>Rekap!$C$4</f>
        <v>0.1</v>
      </c>
      <c r="I11" s="26">
        <f>H11*I$7</f>
        <v>4382964.9372</v>
      </c>
    </row>
    <row r="12" ht="18" customHeight="1" spans="1:9" x14ac:dyDescent="0.25">
      <c r="A12" s="16" t="s">
        <v>89</v>
      </c>
      <c r="B12" s="25">
        <f>IF(C6=0,0,C12/C6)</f>
        <v>0.0265</v>
      </c>
      <c r="C12" s="26">
        <f>SUMIF($D$3:$I$3,"Rp",$D12:$I12)</f>
        <v>6266052.8095</v>
      </c>
      <c r="D12" s="27">
        <v>0.0265</v>
      </c>
      <c r="E12" s="26">
        <f>D12*E$6</f>
        <v>3867427.9405</v>
      </c>
      <c r="F12" s="27">
        <v>0.0265</v>
      </c>
      <c r="G12" s="26">
        <f>F12*G$6</f>
        <v>1162893.087</v>
      </c>
      <c r="H12" s="27">
        <v>0.0265</v>
      </c>
      <c r="I12" s="26">
        <f>H12*I$6</f>
        <v>1235731.782</v>
      </c>
    </row>
    <row r="13" ht="18" customHeight="1" spans="1:9" x14ac:dyDescent="0.25">
      <c r="A13" s="16" t="s">
        <v>90</v>
      </c>
      <c r="B13" s="25">
        <f>IF(C4=0,0,C13/C4)</f>
        <v>0.1</v>
      </c>
      <c r="C13" s="26">
        <f>SUMIF($D$3:$I$3,"Rp",$D13:$I13)</f>
        <v>18545482.3</v>
      </c>
      <c r="D13" s="27">
        <v>0.1</v>
      </c>
      <c r="E13" s="26">
        <f>D13*E$4</f>
        <v>10894067.7</v>
      </c>
      <c r="F13" s="27">
        <v>0.1</v>
      </c>
      <c r="G13" s="26">
        <f>F13*G$4</f>
        <v>3488275.8</v>
      </c>
      <c r="H13" s="27">
        <v>0.1</v>
      </c>
      <c r="I13" s="26">
        <f>H13*I$4</f>
        <v>4163138.8</v>
      </c>
    </row>
    <row r="14" ht="18" customHeight="1" spans="1:9" x14ac:dyDescent="0.25">
      <c r="A14" s="22" t="s">
        <v>91</v>
      </c>
      <c r="B14" s="28"/>
      <c r="C14" s="28"/>
      <c r="D14" s="28"/>
      <c r="E14" s="28"/>
      <c r="F14" s="28"/>
      <c r="G14" s="28"/>
      <c r="H14" s="28"/>
      <c r="I14" s="28"/>
    </row>
    <row r="15" ht="18" customHeight="1" spans="1:9" x14ac:dyDescent="0.25">
      <c r="A15" s="16" t="s">
        <v>92</v>
      </c>
      <c r="B15" s="25">
        <f>IF(C4=0,0,C15/C4)</f>
        <v>0.0166327604216581</v>
      </c>
      <c r="C15" s="26">
        <f>SUMIF($D$3:$I$3,"Rp",$D15:$I15)</f>
        <v>3084625.64</v>
      </c>
      <c r="D15" s="27">
        <v>0.02</v>
      </c>
      <c r="E15" s="26">
        <f>D15*E$4</f>
        <v>2178813.54</v>
      </c>
      <c r="F15" s="27">
        <v>0.02</v>
      </c>
      <c r="G15" s="26">
        <f>F15*G$4</f>
        <v>697655.16</v>
      </c>
      <c r="H15" s="27">
        <v>0.005</v>
      </c>
      <c r="I15" s="26">
        <f>H15*I$4</f>
        <v>208156.94</v>
      </c>
    </row>
    <row r="16" ht="18" customHeight="1" spans="1:9" x14ac:dyDescent="0.25">
      <c r="A16" s="16" t="s">
        <v>93</v>
      </c>
      <c r="B16" s="25">
        <f>IF(C4=0,0,C16/C4)</f>
        <v>0.0332655208433161</v>
      </c>
      <c r="C16" s="26">
        <f>SUMIF($D$3:$I$3,"Rp",$D16:$I16)</f>
        <v>6169251.28</v>
      </c>
      <c r="D16" s="27">
        <v>0.04</v>
      </c>
      <c r="E16" s="26">
        <f>D16*E$4</f>
        <v>4357627.08</v>
      </c>
      <c r="F16" s="27">
        <v>0.04</v>
      </c>
      <c r="G16" s="26">
        <f>F16*G$4</f>
        <v>1395310.32</v>
      </c>
      <c r="H16" s="27">
        <v>0.01</v>
      </c>
      <c r="I16" s="26">
        <f>H16*I$4</f>
        <v>416313.88</v>
      </c>
    </row>
    <row r="17" ht="18" customHeight="1" spans="1:9" x14ac:dyDescent="0.25">
      <c r="A17" s="16" t="s">
        <v>94</v>
      </c>
      <c r="B17" s="25">
        <f>IF(C4=0,0,C17/C4)</f>
        <v>0.057887952528471</v>
      </c>
      <c r="C17" s="26">
        <f>SUMIF($D$3:$I$3,"Rp",$D17:$I17)</f>
        <v>10735599.99</v>
      </c>
      <c r="D17" s="25">
        <f>IF(E$4=0,0,E17/E$4)</f>
        <v>0.0328484587074854</v>
      </c>
      <c r="E17" s="20">
        <v>3578533.33</v>
      </c>
      <c r="F17" s="25">
        <f>IF(G$4=0,0,G17/G$4)</f>
        <v>0.102587453950746</v>
      </c>
      <c r="G17" s="20">
        <v>3578533.33</v>
      </c>
      <c r="H17" s="25">
        <f>IF(I$4=0,0,I17/I$4)</f>
        <v>0.085957579170793</v>
      </c>
      <c r="I17" s="20">
        <v>3578533.33</v>
      </c>
    </row>
    <row r="18" ht="18" customHeight="1" spans="1:9" x14ac:dyDescent="0.25">
      <c r="A18" s="16" t="s">
        <v>95</v>
      </c>
      <c r="B18" s="25">
        <f>IF(C4=0,0,C18/C4)</f>
        <v>0</v>
      </c>
      <c r="C18" s="26">
        <f>SUMIF($D$3:$I$3,"Rp",$D18:$I18)</f>
        <v>0</v>
      </c>
      <c r="D18" s="27">
        <v>0</v>
      </c>
      <c r="E18" s="26">
        <f>D18*E$4</f>
        <v>0</v>
      </c>
      <c r="F18" s="27">
        <v>0</v>
      </c>
      <c r="G18" s="26">
        <f>F18*G$4</f>
        <v>0</v>
      </c>
      <c r="H18" s="27">
        <v>0</v>
      </c>
      <c r="I18" s="26">
        <f>H18*I$4</f>
        <v>0</v>
      </c>
    </row>
    <row r="19" ht="18" customHeight="1" spans="1:9" x14ac:dyDescent="0.25">
      <c r="A19" s="16" t="s">
        <v>96</v>
      </c>
      <c r="B19" s="25">
        <f>IF(C4=0,0,C19/C4)</f>
        <v>0.043137190344195</v>
      </c>
      <c r="C19" s="26">
        <f>SUMIF($D$3:$I$3,"Rp",$D19:$I19)</f>
        <v>8000000</v>
      </c>
      <c r="D19" s="25">
        <f>IF(E$4=0,0,E19/E$4)</f>
        <v>0.0183586154875832</v>
      </c>
      <c r="E19" s="20">
        <v>2000000</v>
      </c>
      <c r="F19" s="25">
        <f>IF(G$4=0,0,G19/G$4)</f>
        <v>0.0860023740095322</v>
      </c>
      <c r="G19" s="20">
        <v>3000000</v>
      </c>
      <c r="H19" s="25">
        <f>IF(I$4=0,0,I19/I$4)</f>
        <v>0.0720610131951402</v>
      </c>
      <c r="I19" s="20">
        <v>3000000</v>
      </c>
    </row>
    <row r="20" ht="18" customHeight="1" spans="1:9" x14ac:dyDescent="0.25">
      <c r="A20" s="16" t="s">
        <v>97</v>
      </c>
      <c r="B20" s="25">
        <f>IF(C4=0,0,C20/C4)</f>
        <v>0.02</v>
      </c>
      <c r="C20" s="26">
        <f>SUMIF($D$3:$I$3,"Rp",$D20:$I20)</f>
        <v>3709096.46</v>
      </c>
      <c r="D20" s="27">
        <v>0.02</v>
      </c>
      <c r="E20" s="26">
        <f>D20*E$4</f>
        <v>2178813.54</v>
      </c>
      <c r="F20" s="27">
        <v>0.02</v>
      </c>
      <c r="G20" s="26">
        <f>F20*G$4</f>
        <v>697655.16</v>
      </c>
      <c r="H20" s="27">
        <v>0.02</v>
      </c>
      <c r="I20" s="26">
        <f>H20*I$4</f>
        <v>832627.76</v>
      </c>
    </row>
    <row r="21" ht="18" customHeight="1" spans="1:9" x14ac:dyDescent="0.25">
      <c r="A21" s="16" t="s">
        <v>98</v>
      </c>
      <c r="B21" s="25">
        <f>IF(C4=0,0,C21/C4)</f>
        <v>0.01</v>
      </c>
      <c r="C21" s="26">
        <f>SUMIF($D$3:$I$3,"Rp",$D21:$I21)</f>
        <v>1854548.23</v>
      </c>
      <c r="D21" s="27">
        <v>0.01</v>
      </c>
      <c r="E21" s="26">
        <f>D21*E$4</f>
        <v>1089406.77</v>
      </c>
      <c r="F21" s="27">
        <v>0.01</v>
      </c>
      <c r="G21" s="26">
        <f>F21*G$4</f>
        <v>348827.58</v>
      </c>
      <c r="H21" s="27">
        <v>0.01</v>
      </c>
      <c r="I21" s="26">
        <f>H21*I$4</f>
        <v>416313.88</v>
      </c>
    </row>
    <row r="22" ht="18" customHeight="1" spans="1:9" x14ac:dyDescent="0.25">
      <c r="A22" s="22" t="s">
        <v>12</v>
      </c>
      <c r="B22" s="23">
        <f>IF(C6=0,0,C22/C6)</f>
        <v>1.0539600175694</v>
      </c>
      <c r="C22" s="24">
        <f>SUMIF($D$3:$I$3,"Rp",$D22:$I22)</f>
        <v>249213929.40345</v>
      </c>
      <c r="D22" s="23">
        <f>IF(E6=0,0,E22/E6)</f>
        <v>1.05041510732851</v>
      </c>
      <c r="E22" s="24">
        <f>SUM(E8:E21)-IF(Rekap!$C$5="Ya",0,E13)</f>
        <v>153298291.89455</v>
      </c>
      <c r="F22" s="23">
        <f>IF(G6=0,0,G22/G6)</f>
        <v>1.08705617818506</v>
      </c>
      <c r="G22" s="24">
        <f>SUM(G8:G21)-IF(Rekap!$C$5="Ya",0,G13)</f>
        <v>47703023.1997</v>
      </c>
      <c r="H22" s="23">
        <f>IF(I6=0,0,I22/I6)</f>
        <v>1.03390905518832</v>
      </c>
      <c r="I22" s="24">
        <f>SUM(I8:I21)-IF(Rekap!$C$5="Ya",0,I13)</f>
        <v>48212614.3092</v>
      </c>
    </row>
    <row r="23" ht="18" customHeight="1" spans="1:9" x14ac:dyDescent="0.25">
      <c r="A23" s="21" t="s">
        <v>13</v>
      </c>
      <c r="B23" s="17">
        <f>IF(C6=0,0,C23/C6)</f>
        <v>-0.0539600175694028</v>
      </c>
      <c r="C23" s="18">
        <f>SUMIF($D$3:$I$3,"Rp",$D23:$I23)</f>
        <v>-12759106.40345</v>
      </c>
      <c r="D23" s="17">
        <f>IF(E6=0,0,E23/E6)</f>
        <v>-0.0504151073285074</v>
      </c>
      <c r="E23" s="18">
        <f>E6-E22</f>
        <v>-7357614.89455003</v>
      </c>
      <c r="F23" s="17">
        <f>IF(G6=0,0,G23/G6)</f>
        <v>-0.087056178185063</v>
      </c>
      <c r="G23" s="18">
        <f>G6-G22</f>
        <v>-3820265.1997</v>
      </c>
      <c r="H23" s="17">
        <f>IF(I6=0,0,I23/I6)</f>
        <v>-0.0339090551883209</v>
      </c>
      <c r="I23" s="18">
        <f>I6-I22</f>
        <v>-1581226.3092</v>
      </c>
    </row>
    <row r="25" ht="15" customHeight="1" spans="1:1" x14ac:dyDescent="0.25">
      <c r="A25" s="29" t="s">
        <v>99</v>
      </c>
    </row>
    <row r="26" ht="15" customHeight="1" spans="1:1" x14ac:dyDescent="0.25">
      <c r="A26" s="4" t="s">
        <v>100</v>
      </c>
    </row>
    <row r="27" ht="15" customHeight="1" spans="1:1" x14ac:dyDescent="0.25">
      <c r="A27" s="4" t="s">
        <v>101</v>
      </c>
    </row>
    <row r="28" ht="15" customHeight="1" spans="1:1" x14ac:dyDescent="0.25">
      <c r="A28" s="4" t="s">
        <v>102</v>
      </c>
    </row>
    <row r="29" ht="15" customHeight="1" spans="1:1" x14ac:dyDescent="0.25">
      <c r="A29" s="4" t="s">
        <v>103</v>
      </c>
    </row>
  </sheetData>
  <mergeCells count="9">
    <mergeCell ref="B1:C1"/>
    <mergeCell ref="D1:E1"/>
    <mergeCell ref="F1:G1"/>
    <mergeCell ref="H1:I1"/>
    <mergeCell ref="A1:A3"/>
    <mergeCell ref="B2:C2"/>
    <mergeCell ref="D2:E2"/>
    <mergeCell ref="F2:G2"/>
    <mergeCell ref="H2:I2"/>
  </mergeCells>
  <conditionalFormatting sqref="B23:I23">
    <cfRule type="cellIs" dxfId="2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workbookViewId="0" zoomScale="100" zoomScaleNormal="100" view="normal">
      <selection activeCell="A1" sqref="A1"/>
    </sheetView>
  </sheetViews>
  <sheetFormatPr defaultRowHeight="14.25" outlineLevelRow="0" outlineLevelCol="0" x14ac:dyDescent="0" defaultColWidth="8.6328125" customHeight="1"/>
  <cols>
    <col min="1" max="1" width="5" style="30" customWidth="1"/>
    <col min="2" max="2" width="34" style="30" customWidth="1"/>
    <col min="3" max="3" width="9" style="30" customWidth="1"/>
    <col min="4" max="4" width="16" style="30" customWidth="1"/>
    <col min="5" max="5" width="10.91" style="30" customWidth="1"/>
    <col min="6" max="8" width="16" style="30" customWidth="1"/>
    <col min="9" max="9" width="28" style="30" customWidth="1"/>
    <col min="11" max="11" width="13" hidden="1" customWidth="1"/>
  </cols>
  <sheetData>
    <row r="1" ht="30" customHeight="1" spans="1:9" x14ac:dyDescent="0.25">
      <c r="A1" s="31" t="s">
        <v>104</v>
      </c>
      <c r="B1" s="31"/>
      <c r="C1" s="31"/>
      <c r="D1" s="31"/>
      <c r="E1" s="31"/>
      <c r="F1" s="31"/>
      <c r="G1" s="31"/>
      <c r="H1" s="31"/>
      <c r="I1" s="31"/>
    </row>
    <row r="2" ht="15" customHeight="1" spans="1:9" x14ac:dyDescent="0.25">
      <c r="A2" s="32" t="s">
        <v>188</v>
      </c>
      <c r="B2" s="32"/>
      <c r="C2" s="32"/>
      <c r="D2" s="32"/>
      <c r="E2" s="32"/>
      <c r="F2" s="32"/>
      <c r="G2" s="32"/>
      <c r="H2" s="32"/>
      <c r="I2" s="32"/>
    </row>
    <row r="3" ht="15" customHeight="1" spans="1:1" x14ac:dyDescent="0.25">
      <c r="A3" s="33" t="s">
        <v>189</v>
      </c>
    </row>
    <row r="5" ht="15" customHeight="1" spans="1:9" x14ac:dyDescent="0.25">
      <c r="A5" s="34" t="s">
        <v>107</v>
      </c>
      <c r="B5" s="34"/>
      <c r="C5" s="35" t="s">
        <v>190</v>
      </c>
      <c r="D5" s="35"/>
      <c r="E5" s="35"/>
      <c r="F5" s="34" t="s">
        <v>109</v>
      </c>
      <c r="G5" s="34"/>
      <c r="H5" s="35" t="s">
        <v>110</v>
      </c>
      <c r="I5" s="35"/>
    </row>
    <row r="6" ht="15" customHeight="1" spans="1:11" x14ac:dyDescent="0.25">
      <c r="A6" s="34" t="s">
        <v>111</v>
      </c>
      <c r="B6" s="34"/>
      <c r="C6" s="36">
        <v>46308</v>
      </c>
      <c r="D6" s="36"/>
      <c r="E6" s="36"/>
      <c r="F6" s="34" t="s">
        <v>112</v>
      </c>
      <c r="G6" s="34"/>
      <c r="H6" s="35"/>
      <c r="I6" s="35"/>
      <c r="K6" t="s">
        <v>113</v>
      </c>
    </row>
    <row r="7" ht="15" customHeight="1" spans="1:11" x14ac:dyDescent="0.25">
      <c r="A7" s="34" t="s">
        <v>114</v>
      </c>
      <c r="B7" s="34"/>
      <c r="C7" s="37" t="s">
        <v>182</v>
      </c>
      <c r="D7" s="37"/>
      <c r="E7" s="37"/>
      <c r="F7" s="34" t="s">
        <v>115</v>
      </c>
      <c r="G7" s="34"/>
      <c r="H7" s="35" t="s">
        <v>116</v>
      </c>
      <c r="I7" s="35"/>
      <c r="K7">
        <f>MATCH($C$7,EVANTAMA!$1:$1,0)</f>
        <v>4</v>
      </c>
    </row>
    <row r="8" ht="15" customHeight="1" spans="1:9" x14ac:dyDescent="0.25">
      <c r="A8" s="34" t="s">
        <v>117</v>
      </c>
      <c r="B8" s="34"/>
      <c r="C8" s="38" t="s">
        <v>191</v>
      </c>
      <c r="D8" s="38"/>
      <c r="E8" s="38"/>
      <c r="F8" s="34" t="s">
        <v>119</v>
      </c>
      <c r="G8" s="34"/>
      <c r="H8" s="35">
        <v>1</v>
      </c>
      <c r="I8" s="35"/>
    </row>
    <row r="9" ht="15" customHeight="1" spans="1:9" x14ac:dyDescent="0.25">
      <c r="A9" s="34" t="s">
        <v>120</v>
      </c>
      <c r="B9" s="34"/>
      <c r="C9" s="39">
        <f>INDEX(EVANTAMA!$6:$6,$K$7+1)</f>
        <v>145940677</v>
      </c>
      <c r="D9" s="39"/>
      <c r="E9" s="39"/>
      <c r="F9" s="34" t="s">
        <v>121</v>
      </c>
      <c r="G9" s="34"/>
      <c r="H9" s="35" t="s">
        <v>122</v>
      </c>
      <c r="I9" s="35"/>
    </row>
    <row r="11" ht="15" customHeight="1" spans="1:9" x14ac:dyDescent="0.25">
      <c r="A11" s="40" t="s">
        <v>123</v>
      </c>
      <c r="B11" s="40"/>
      <c r="C11" s="40"/>
      <c r="D11" s="40"/>
      <c r="E11" s="40"/>
      <c r="F11" s="40"/>
      <c r="G11" s="40"/>
      <c r="H11" s="40"/>
      <c r="I11" s="40"/>
    </row>
    <row r="12" ht="31.5" customHeight="1" spans="1:9" x14ac:dyDescent="0.25">
      <c r="A12" s="41" t="s">
        <v>124</v>
      </c>
      <c r="B12" s="41" t="s">
        <v>125</v>
      </c>
      <c r="C12" s="41" t="s">
        <v>126</v>
      </c>
      <c r="D12" s="41" t="s">
        <v>127</v>
      </c>
      <c r="E12" s="41" t="s">
        <v>128</v>
      </c>
      <c r="F12" s="41" t="s">
        <v>129</v>
      </c>
      <c r="G12" s="41" t="s">
        <v>130</v>
      </c>
      <c r="H12" s="41" t="s">
        <v>131</v>
      </c>
      <c r="I12" s="41" t="s">
        <v>132</v>
      </c>
    </row>
    <row r="13" ht="15" customHeight="1" spans="1:9" x14ac:dyDescent="0.25">
      <c r="A13" s="34" t="s">
        <v>133</v>
      </c>
      <c r="B13" s="34" t="s">
        <v>134</v>
      </c>
      <c r="C13" s="42"/>
      <c r="D13" s="42"/>
      <c r="E13" s="42"/>
      <c r="F13" s="42"/>
      <c r="G13" s="42"/>
      <c r="H13" s="42"/>
      <c r="I13" s="42"/>
    </row>
    <row r="14" ht="15" customHeight="1" spans="1:9" x14ac:dyDescent="0.25">
      <c r="A14" s="43">
        <v>1</v>
      </c>
      <c r="B14" s="44" t="str">
        <f>TRIM(EVANTAMA!$A$8)</f>
        <v>Biaya Subcon</v>
      </c>
      <c r="C14" s="45">
        <f>IF($C$9=0,0,D14/$C$9)</f>
        <v>0.494840747107128</v>
      </c>
      <c r="D14" s="46">
        <f>INDEX(EVANTAMA!$8:$8,$K$7+1)</f>
        <v>72217393.64</v>
      </c>
      <c r="E14" s="47">
        <v>1</v>
      </c>
      <c r="F14" s="48">
        <f>ROUND(D14*E14,0)</f>
        <v>72217394</v>
      </c>
      <c r="G14" s="49">
        <v>0</v>
      </c>
      <c r="H14" s="48">
        <f>ROUND(D14,0)-G14-F14</f>
        <v>0</v>
      </c>
      <c r="I14" s="50" t="s">
        <v>135</v>
      </c>
    </row>
    <row r="15" ht="15" customHeight="1" spans="1:9" x14ac:dyDescent="0.25">
      <c r="A15" s="43">
        <v>2</v>
      </c>
      <c r="B15" s="44" t="str">
        <f>TRIM(EVANTAMA!$A$9)</f>
        <v>Biaya Permit</v>
      </c>
      <c r="C15" s="45">
        <f>IF($C$9=0,0,D15/$C$9)</f>
        <v>0.253527671383901</v>
      </c>
      <c r="D15" s="46">
        <f>INDEX(EVANTAMA!$9:$9,$K$7+1)</f>
        <v>37000000</v>
      </c>
      <c r="E15" s="47">
        <v>1</v>
      </c>
      <c r="F15" s="48">
        <f>ROUND(D15*E15,0)</f>
        <v>37000000</v>
      </c>
      <c r="G15" s="49">
        <v>0</v>
      </c>
      <c r="H15" s="48">
        <f>ROUND(D15,0)-G15-F15</f>
        <v>0</v>
      </c>
      <c r="I15" s="50" t="s">
        <v>136</v>
      </c>
    </row>
    <row r="16" ht="15" customHeight="1" spans="1:9" x14ac:dyDescent="0.25">
      <c r="A16" s="43">
        <v>3</v>
      </c>
      <c r="B16" s="44" t="str">
        <f>TRIM(EVANTAMA!$A$10)</f>
        <v>Ticket Internal</v>
      </c>
      <c r="C16" s="45">
        <f>IF($C$9=0,0,D16/$C$9)</f>
        <v>0</v>
      </c>
      <c r="D16" s="46">
        <f>INDEX(EVANTAMA!$10:$10,$K$7+1)</f>
        <v>0</v>
      </c>
      <c r="E16" s="47">
        <v>1</v>
      </c>
      <c r="F16" s="48">
        <f>ROUND(D16*E16,0)</f>
        <v>0</v>
      </c>
      <c r="G16" s="49">
        <v>0</v>
      </c>
      <c r="H16" s="48">
        <f>ROUND(D16,0)-G16-F16</f>
        <v>0</v>
      </c>
      <c r="I16" s="50" t="s">
        <v>137</v>
      </c>
    </row>
    <row r="17" ht="15" customHeight="1" spans="1:9" x14ac:dyDescent="0.25">
      <c r="A17" s="43">
        <v>4</v>
      </c>
      <c r="B17" s="44" t="str">
        <f>TRIM(EVANTAMA!$A$12)</f>
        <v>Pajak</v>
      </c>
      <c r="C17" s="45">
        <f>IF($C$9=0,0,D17/$C$9)</f>
        <v>0.0265</v>
      </c>
      <c r="D17" s="46">
        <f>INDEX(EVANTAMA!$12:$12,$K$7+1)</f>
        <v>3867427.9405</v>
      </c>
      <c r="E17" s="47">
        <v>1</v>
      </c>
      <c r="F17" s="48">
        <f>ROUND(D17*E17,0)</f>
        <v>3867428</v>
      </c>
      <c r="G17" s="49">
        <v>0</v>
      </c>
      <c r="H17" s="48">
        <f>ROUND(D17,0)-G17-F17</f>
        <v>0</v>
      </c>
      <c r="I17" s="50" t="s">
        <v>138</v>
      </c>
    </row>
    <row r="18" ht="15" customHeight="1" spans="1:9" x14ac:dyDescent="0.25">
      <c r="A18" s="51"/>
      <c r="B18" s="52" t="s">
        <v>139</v>
      </c>
      <c r="C18" s="53">
        <f>SUM(C14:C17)</f>
        <v>0.774868418491028</v>
      </c>
      <c r="D18" s="54">
        <f>SUM(D14:D17)</f>
        <v>113084821.5805</v>
      </c>
      <c r="E18" s="51"/>
      <c r="F18" s="54">
        <f>SUM(F14:F17)</f>
        <v>113084822</v>
      </c>
      <c r="G18" s="54">
        <f>SUM(G14:G17)</f>
        <v>0</v>
      </c>
      <c r="H18" s="54">
        <f>SUM(H14:H17)</f>
        <v>0</v>
      </c>
      <c r="I18" s="51"/>
    </row>
    <row r="19" ht="15" customHeight="1" spans="1:9" x14ac:dyDescent="0.25">
      <c r="A19" s="34" t="s">
        <v>140</v>
      </c>
      <c r="B19" s="34" t="s">
        <v>91</v>
      </c>
      <c r="C19" s="42"/>
      <c r="D19" s="42"/>
      <c r="E19" s="42"/>
      <c r="F19" s="42"/>
      <c r="G19" s="42"/>
      <c r="H19" s="42"/>
      <c r="I19" s="42"/>
    </row>
    <row r="20" ht="15" customHeight="1" spans="1:9" x14ac:dyDescent="0.25">
      <c r="A20" s="43">
        <v>1</v>
      </c>
      <c r="B20" s="44" t="str">
        <f>TRIM(EVANTAMA!$A$15)</f>
        <v>Indirect Cost</v>
      </c>
      <c r="C20" s="45">
        <f>IF($C$9=0,0,D20/$C$9)</f>
        <v>0.014929446572322</v>
      </c>
      <c r="D20" s="46">
        <f>INDEX(EVANTAMA!$15:$15,$K$7+1)</f>
        <v>2178813.54</v>
      </c>
      <c r="E20" s="47">
        <v>1</v>
      </c>
      <c r="F20" s="48">
        <f>ROUND(D20*E20,0)</f>
        <v>2178814</v>
      </c>
      <c r="G20" s="49">
        <v>0</v>
      </c>
      <c r="H20" s="48">
        <f>ROUND(D20,0)-G20-F20</f>
        <v>0</v>
      </c>
      <c r="I20" s="50"/>
    </row>
    <row r="21" ht="15" customHeight="1" spans="1:9" x14ac:dyDescent="0.25">
      <c r="A21" s="43">
        <v>2</v>
      </c>
      <c r="B21" s="44" t="str">
        <f>TRIM(EVANTAMA!$A$16)</f>
        <v>Direct Cost</v>
      </c>
      <c r="C21" s="45">
        <f>IF($C$9=0,0,D21/$C$9)</f>
        <v>0.029858893144644</v>
      </c>
      <c r="D21" s="46">
        <f>INDEX(EVANTAMA!$16:$16,$K$7+1)</f>
        <v>4357627.08</v>
      </c>
      <c r="E21" s="47">
        <v>1</v>
      </c>
      <c r="F21" s="48">
        <f>ROUND(D21*E21,0)</f>
        <v>4357627</v>
      </c>
      <c r="G21" s="49">
        <v>0</v>
      </c>
      <c r="H21" s="48">
        <f>ROUND(D21,0)-G21-F21</f>
        <v>0</v>
      </c>
      <c r="I21" s="50" t="s">
        <v>141</v>
      </c>
    </row>
    <row r="22" ht="15" customHeight="1" spans="1:9" x14ac:dyDescent="0.25">
      <c r="A22" s="43">
        <v>3</v>
      </c>
      <c r="B22" s="44" t="str">
        <f>TRIM(EVANTAMA!$A$17)</f>
        <v>Operational Kantor</v>
      </c>
      <c r="C22" s="45">
        <f>IF($C$9=0,0,D22/$C$9)</f>
        <v>0.0245204654628264</v>
      </c>
      <c r="D22" s="46">
        <f>INDEX(EVANTAMA!$17:$17,$K$7+1)</f>
        <v>3578533.33</v>
      </c>
      <c r="E22" s="47">
        <v>1</v>
      </c>
      <c r="F22" s="48">
        <f>ROUND(D22*E22,0)</f>
        <v>3578533</v>
      </c>
      <c r="G22" s="49">
        <v>0</v>
      </c>
      <c r="H22" s="48">
        <f>ROUND(D22,0)-G22-F22</f>
        <v>0</v>
      </c>
      <c r="I22" s="50"/>
    </row>
    <row r="23" ht="15" customHeight="1" spans="1:9" x14ac:dyDescent="0.25">
      <c r="A23" s="43">
        <v>4</v>
      </c>
      <c r="B23" s="44" t="str">
        <f>TRIM(EVANTAMA!$A$18)</f>
        <v>Motor dan Mobil</v>
      </c>
      <c r="C23" s="45">
        <f>IF($C$9=0,0,D23/$C$9)</f>
        <v>0</v>
      </c>
      <c r="D23" s="46">
        <f>INDEX(EVANTAMA!$18:$18,$K$7+1)</f>
        <v>0</v>
      </c>
      <c r="E23" s="47">
        <v>1</v>
      </c>
      <c r="F23" s="48">
        <f>ROUND(D23*E23,0)</f>
        <v>0</v>
      </c>
      <c r="G23" s="49">
        <v>0</v>
      </c>
      <c r="H23" s="48">
        <f>ROUND(D23,0)-G23-F23</f>
        <v>0</v>
      </c>
      <c r="I23" s="50" t="s">
        <v>142</v>
      </c>
    </row>
    <row r="24" ht="15" customHeight="1" spans="1:9" x14ac:dyDescent="0.25">
      <c r="A24" s="43">
        <v>5</v>
      </c>
      <c r="B24" s="44" t="str">
        <f>TRIM(EVANTAMA!$A$19)</f>
        <v>Homebase</v>
      </c>
      <c r="C24" s="45">
        <f>IF($C$9=0,0,D24/$C$9)</f>
        <v>0.0137041984531838</v>
      </c>
      <c r="D24" s="46">
        <f>INDEX(EVANTAMA!$19:$19,$K$7+1)</f>
        <v>2000000</v>
      </c>
      <c r="E24" s="47">
        <v>1</v>
      </c>
      <c r="F24" s="48">
        <f>ROUND(D24*E24,0)</f>
        <v>2000000</v>
      </c>
      <c r="G24" s="49">
        <v>0</v>
      </c>
      <c r="H24" s="48">
        <f>ROUND(D24,0)-G24-F24</f>
        <v>0</v>
      </c>
      <c r="I24" s="50"/>
    </row>
    <row r="25" ht="15" customHeight="1" spans="1:9" x14ac:dyDescent="0.25">
      <c r="A25" s="43">
        <v>6</v>
      </c>
      <c r="B25" s="44" t="str">
        <f>TRIM(EVANTAMA!$A$20)</f>
        <v>Allowance Kunjungan include ops permit</v>
      </c>
      <c r="C25" s="45">
        <f>IF($C$9=0,0,D25/$C$9)</f>
        <v>0.014929446572322</v>
      </c>
      <c r="D25" s="46">
        <f>INDEX(EVANTAMA!$20:$20,$K$7+1)</f>
        <v>2178813.54</v>
      </c>
      <c r="E25" s="47">
        <v>1</v>
      </c>
      <c r="F25" s="48">
        <f>ROUND(D25*E25,0)</f>
        <v>2178814</v>
      </c>
      <c r="G25" s="49">
        <v>0</v>
      </c>
      <c r="H25" s="48">
        <f>ROUND(D25,0)-G25-F25</f>
        <v>0</v>
      </c>
      <c r="I25" s="50" t="s">
        <v>143</v>
      </c>
    </row>
    <row r="26" ht="15" customHeight="1" spans="1:9" x14ac:dyDescent="0.25">
      <c r="A26" s="43">
        <v>7</v>
      </c>
      <c r="B26" s="44" t="str">
        <f>TRIM(EVANTAMA!$A$21)</f>
        <v>Marketing cost</v>
      </c>
      <c r="C26" s="45">
        <f>IF($C$9=0,0,D26/$C$9)</f>
        <v>0.00746472328616099</v>
      </c>
      <c r="D26" s="46">
        <f>INDEX(EVANTAMA!$21:$21,$K$7+1)</f>
        <v>1089406.77</v>
      </c>
      <c r="E26" s="47">
        <v>1</v>
      </c>
      <c r="F26" s="48">
        <f>ROUND(D26*E26,0)</f>
        <v>1089407</v>
      </c>
      <c r="G26" s="49">
        <v>0</v>
      </c>
      <c r="H26" s="48">
        <f>ROUND(D26,0)-G26-F26</f>
        <v>0</v>
      </c>
      <c r="I26" s="50"/>
    </row>
    <row r="27" ht="15" customHeight="1" spans="1:9" x14ac:dyDescent="0.25">
      <c r="A27" s="51"/>
      <c r="B27" s="52" t="s">
        <v>144</v>
      </c>
      <c r="C27" s="55">
        <f>SUM(C20:C26)</f>
        <v>0.105407173491459</v>
      </c>
      <c r="D27" s="54">
        <f>SUM(D20:D26)</f>
        <v>15383194.26</v>
      </c>
      <c r="E27" s="51"/>
      <c r="F27" s="54">
        <f>SUM(F20:F26)</f>
        <v>15383195</v>
      </c>
      <c r="G27" s="54">
        <f>SUM(G20:G26)</f>
        <v>0</v>
      </c>
      <c r="H27" s="54">
        <f>SUM(H20:H26)</f>
        <v>0</v>
      </c>
      <c r="I27" s="51"/>
    </row>
    <row r="28" ht="15" customHeight="1" spans="1:9" x14ac:dyDescent="0.25">
      <c r="A28" s="56"/>
      <c r="B28" s="40" t="s">
        <v>145</v>
      </c>
      <c r="C28" s="57">
        <f>C18+C27</f>
        <v>0.880275591982488</v>
      </c>
      <c r="D28" s="58">
        <f>D18+D27</f>
        <v>128468015.8405</v>
      </c>
      <c r="E28" s="56"/>
      <c r="F28" s="58">
        <f>F18+F27</f>
        <v>128468017</v>
      </c>
      <c r="G28" s="58">
        <f>G18+G27</f>
        <v>0</v>
      </c>
      <c r="H28" s="58">
        <f>H18+H27</f>
        <v>0</v>
      </c>
      <c r="I28" s="56"/>
    </row>
    <row r="30" ht="15" customHeight="1" spans="1:11" x14ac:dyDescent="0.25">
      <c r="A30" s="34" t="s">
        <v>146</v>
      </c>
      <c r="B30" s="34"/>
      <c r="C30" s="34"/>
      <c r="D30" s="34"/>
      <c r="E30" s="34"/>
      <c r="F30" s="34"/>
      <c r="G30" s="34"/>
      <c r="H30" s="34"/>
      <c r="I30" s="34"/>
      <c r="K30">
        <f>ROUND(F28,0)</f>
        <v>128468017</v>
      </c>
    </row>
    <row r="31" ht="15" customHeight="1" spans="1:11" x14ac:dyDescent="0.25">
      <c r="A31" s="59" t="str">
        <f>"Beban bunga dana investor ("&amp;TEXT(Rekap!$C$4,"0%")&amp;" × dana investor)"</f>
        <v>Beban bunga dana investor (10% × dana investor)</v>
      </c>
      <c r="B31" s="59"/>
      <c r="C31" s="59"/>
      <c r="D31" s="46">
        <f>INDEX(EVANTAMA!$11:$11,$K$7+1)</f>
        <v>13936208.35405</v>
      </c>
      <c r="K31">
        <f>INT(K30/1000000000)</f>
        <v>0</v>
      </c>
    </row>
    <row r="32" ht="15" customHeight="1" spans="1:11" x14ac:dyDescent="0.25">
      <c r="A32" s="59" t="s">
        <v>147</v>
      </c>
      <c r="B32" s="59"/>
      <c r="C32" s="59"/>
      <c r="D32" s="46">
        <f>INDEX(EVANTAMA!$13:$13,$K$7+1)</f>
        <v>10894067.7</v>
      </c>
      <c r="K32">
        <f>INT(MOD(K30,1000000000)/1000000)</f>
        <v>128</v>
      </c>
    </row>
    <row r="33" ht="15" customHeight="1" spans="1:11" x14ac:dyDescent="0.25">
      <c r="A33" s="59" t="s">
        <v>148</v>
      </c>
      <c r="B33" s="59"/>
      <c r="C33" s="59"/>
      <c r="D33" s="46">
        <f>INDEX(EVANTAMA!$23:$23,$K$7+1)</f>
        <v>-7357614.89455003</v>
      </c>
      <c r="K33">
        <f>INT(MOD(K30,1000000)/1000)</f>
        <v>468</v>
      </c>
    </row>
    <row r="34" ht="15" customHeight="1" spans="1:11" x14ac:dyDescent="0.25">
      <c r="A34" s="59" t="s">
        <v>149</v>
      </c>
      <c r="B34" s="59"/>
      <c r="C34" s="59"/>
      <c r="D34" s="60">
        <f>INDEX(EVANTAMA!$23:$23,$K$7)</f>
        <v>-0.0504151073285074</v>
      </c>
      <c r="K34">
        <f>MOD(K30,1000)</f>
        <v>17</v>
      </c>
    </row>
    <row r="35" ht="14.25" customHeight="1" spans="11:11" x14ac:dyDescent="0.25">
      <c r="K35" t="str">
        <f>TRIM(IF(K31&gt;0,VLOOKUP(K31,_terbilang!$A$1:$B$999,2,FALSE())&amp;" milyar ","")&amp;IF(K32&gt;0,VLOOKUP(K32,_terbilang!$A$1:$B$999,2,FALSE())&amp;" juta ","")&amp;IF(K33=1,"seribu ",IF(K33&gt;0,VLOOKUP(K33,_terbilang!$A$1:$B$999,2,FALSE())&amp;" ribu ",""))&amp;IF(K34&gt;0,VLOOKUP(K34,_terbilang!$A$1:$B$999,2,FALSE()),""))&amp;" rupiah"</f>
        <v>seratus dua puluh delapan juta empat ratus enam puluh delapan ribu tujuh belas rupiah</v>
      </c>
    </row>
    <row r="36" ht="15" customHeight="1" spans="1:9" x14ac:dyDescent="0.25">
      <c r="A36" s="34" t="s">
        <v>150</v>
      </c>
      <c r="B36" s="34"/>
      <c r="C36" s="61" t="str">
        <f>IF(K30=0,"Nol rupiah",UPPER(LEFT(K35,1))&amp;MID(K35,2,500))</f>
        <v>Seratus dua puluh delapan juta empat ratus enam puluh delapan ribu tujuh belas rupiah</v>
      </c>
      <c r="D36" s="61"/>
      <c r="E36" s="61"/>
      <c r="F36" s="61"/>
      <c r="G36" s="61"/>
      <c r="H36" s="61"/>
      <c r="I36" s="61"/>
    </row>
    <row r="37" ht="15" customHeight="1" spans="1:9" x14ac:dyDescent="0.25">
      <c r="A37" s="62" t="s">
        <v>151</v>
      </c>
      <c r="B37" s="62"/>
      <c r="C37" s="63" t="str">
        <f>"Modal kerja pelaksanaan pekerjaan FTTH "&amp;C7&amp;" untuk "&amp;C8&amp;"."</f>
        <v>Modal kerja pelaksanaan pekerjaan FTTH Cluster Sinagar Tasik untuk PT Evantama Network System.</v>
      </c>
      <c r="D37" s="63"/>
      <c r="E37" s="63"/>
      <c r="F37" s="63"/>
      <c r="G37" s="63"/>
      <c r="H37" s="63"/>
      <c r="I37" s="63"/>
    </row>
    <row r="38" ht="15" customHeight="1" spans="1:9" x14ac:dyDescent="0.25">
      <c r="A38" s="62"/>
      <c r="B38" s="62"/>
      <c r="C38" s="63"/>
      <c r="D38" s="63"/>
      <c r="E38" s="63"/>
      <c r="F38" s="63"/>
      <c r="G38" s="63"/>
      <c r="H38" s="63"/>
      <c r="I38" s="63"/>
    </row>
    <row r="39" ht="15" customHeight="1" spans="1:9" x14ac:dyDescent="0.25">
      <c r="A39" s="62"/>
      <c r="B39" s="62"/>
      <c r="C39" s="63"/>
      <c r="D39" s="63"/>
      <c r="E39" s="63"/>
      <c r="F39" s="63"/>
      <c r="G39" s="63"/>
      <c r="H39" s="63"/>
      <c r="I39" s="63"/>
    </row>
    <row r="41" ht="15" customHeight="1" spans="1:9" x14ac:dyDescent="0.25">
      <c r="A41" s="64" t="s">
        <v>152</v>
      </c>
      <c r="B41" s="64"/>
      <c r="C41" s="64"/>
      <c r="D41" s="64"/>
      <c r="E41" s="64"/>
      <c r="F41" s="64"/>
      <c r="G41" s="64"/>
      <c r="H41" s="64"/>
      <c r="I41" s="64"/>
    </row>
    <row r="42" ht="15" customHeight="1" spans="1:5" x14ac:dyDescent="0.25">
      <c r="A42" s="34" t="s">
        <v>153</v>
      </c>
      <c r="B42" s="34"/>
      <c r="C42" s="65" t="s">
        <v>154</v>
      </c>
      <c r="D42" s="65"/>
      <c r="E42" s="65"/>
    </row>
    <row r="43" ht="15" customHeight="1" spans="1:5" x14ac:dyDescent="0.25">
      <c r="A43" s="34" t="s">
        <v>155</v>
      </c>
      <c r="B43" s="34"/>
      <c r="C43" s="65" t="s">
        <v>156</v>
      </c>
      <c r="D43" s="65"/>
      <c r="E43" s="65"/>
    </row>
    <row r="44" ht="15" customHeight="1" spans="1:5" x14ac:dyDescent="0.25">
      <c r="A44" s="34" t="s">
        <v>157</v>
      </c>
      <c r="B44" s="34"/>
      <c r="C44" s="65" t="s">
        <v>158</v>
      </c>
      <c r="D44" s="65"/>
      <c r="E44" s="65"/>
    </row>
    <row r="46" ht="15" customHeight="1" spans="1:9" x14ac:dyDescent="0.25">
      <c r="A46" s="64" t="s">
        <v>159</v>
      </c>
      <c r="B46" s="64"/>
      <c r="C46" s="64"/>
      <c r="D46" s="64"/>
      <c r="E46" s="64"/>
      <c r="F46" s="64"/>
      <c r="G46" s="64"/>
      <c r="H46" s="64"/>
      <c r="I46" s="64"/>
    </row>
    <row r="47" ht="15" customHeight="1" spans="1:9" x14ac:dyDescent="0.25">
      <c r="A47" s="66" t="s">
        <v>160</v>
      </c>
      <c r="B47" s="59" t="s">
        <v>192</v>
      </c>
      <c r="C47" s="59"/>
      <c r="D47" s="59"/>
      <c r="E47" s="66" t="s">
        <v>160</v>
      </c>
      <c r="F47" s="59" t="str">
        <f>"PO / SPK dengan "&amp;C8</f>
        <v>PO / SPK dengan PT Evantama Network System</v>
      </c>
      <c r="G47" s="59"/>
      <c r="H47" s="59"/>
      <c r="I47" s="59"/>
    </row>
    <row r="48" ht="15" customHeight="1" spans="1:9" x14ac:dyDescent="0.25">
      <c r="A48" s="66" t="s">
        <v>160</v>
      </c>
      <c r="B48" s="59" t="s">
        <v>162</v>
      </c>
      <c r="C48" s="59"/>
      <c r="D48" s="59"/>
      <c r="E48" s="66" t="s">
        <v>160</v>
      </c>
      <c r="F48" s="59" t="s">
        <v>163</v>
      </c>
      <c r="G48" s="59"/>
      <c r="H48" s="59"/>
      <c r="I48" s="59"/>
    </row>
    <row r="49" ht="15" customHeight="1" spans="1:9" x14ac:dyDescent="0.25">
      <c r="A49" s="66" t="s">
        <v>160</v>
      </c>
      <c r="B49" s="59" t="s">
        <v>164</v>
      </c>
      <c r="C49" s="59"/>
      <c r="D49" s="59"/>
      <c r="E49" s="66" t="s">
        <v>165</v>
      </c>
      <c r="F49" s="59" t="s">
        <v>166</v>
      </c>
      <c r="G49" s="59"/>
      <c r="H49" s="59"/>
      <c r="I49" s="59"/>
    </row>
    <row r="51" ht="15" customHeight="1" spans="1:9" x14ac:dyDescent="0.25">
      <c r="A51" s="64" t="s">
        <v>167</v>
      </c>
      <c r="B51" s="64"/>
      <c r="C51" s="64"/>
      <c r="D51" s="64"/>
      <c r="E51" s="64"/>
      <c r="F51" s="64"/>
      <c r="G51" s="64"/>
      <c r="H51" s="64"/>
      <c r="I51" s="64"/>
    </row>
    <row r="52" ht="15" customHeight="1" spans="1:9" x14ac:dyDescent="0.25">
      <c r="A52" s="67" t="s">
        <v>168</v>
      </c>
      <c r="B52" s="67"/>
      <c r="C52" s="67" t="s">
        <v>169</v>
      </c>
      <c r="D52" s="67"/>
      <c r="E52" s="67" t="s">
        <v>170</v>
      </c>
      <c r="F52" s="67"/>
      <c r="G52" s="67"/>
      <c r="H52" s="67" t="s">
        <v>171</v>
      </c>
      <c r="I52" s="67"/>
    </row>
    <row r="53" ht="15" customHeight="1" spans="1:9" x14ac:dyDescent="0.25">
      <c r="A53" s="59"/>
      <c r="B53" s="59"/>
      <c r="C53" s="59"/>
      <c r="D53" s="59"/>
      <c r="E53" s="59"/>
      <c r="F53" s="59"/>
      <c r="G53" s="59"/>
      <c r="H53" s="59"/>
      <c r="I53" s="59"/>
    </row>
    <row r="54" ht="15" customHeight="1" spans="1:9" x14ac:dyDescent="0.25">
      <c r="A54" s="59"/>
      <c r="B54" s="59"/>
      <c r="C54" s="59"/>
      <c r="D54" s="59"/>
      <c r="E54" s="59"/>
      <c r="F54" s="59"/>
      <c r="G54" s="59"/>
      <c r="H54" s="59"/>
      <c r="I54" s="59"/>
    </row>
    <row r="55" ht="15" customHeight="1" spans="1:9" x14ac:dyDescent="0.25">
      <c r="A55" s="59"/>
      <c r="B55" s="59"/>
      <c r="C55" s="59"/>
      <c r="D55" s="59"/>
      <c r="E55" s="59"/>
      <c r="F55" s="59"/>
      <c r="G55" s="59"/>
      <c r="H55" s="59"/>
      <c r="I55" s="59"/>
    </row>
    <row r="56" ht="15" customHeight="1" spans="1:9" x14ac:dyDescent="0.25">
      <c r="A56" s="59"/>
      <c r="B56" s="59"/>
      <c r="C56" s="59"/>
      <c r="D56" s="59"/>
      <c r="E56" s="59"/>
      <c r="F56" s="59"/>
      <c r="G56" s="59"/>
      <c r="H56" s="59"/>
      <c r="I56" s="59"/>
    </row>
    <row r="57" ht="15" customHeight="1" spans="1:9" x14ac:dyDescent="0.25">
      <c r="A57" s="50" t="s">
        <v>172</v>
      </c>
      <c r="B57" s="50"/>
      <c r="C57" s="50" t="s">
        <v>173</v>
      </c>
      <c r="D57" s="50"/>
      <c r="E57" s="50" t="s">
        <v>173</v>
      </c>
      <c r="F57" s="50"/>
      <c r="G57" s="50"/>
      <c r="H57" s="50" t="s">
        <v>173</v>
      </c>
      <c r="I57" s="50"/>
    </row>
    <row r="58" ht="15" customHeight="1" spans="1:9" x14ac:dyDescent="0.25">
      <c r="A58" s="50" t="s">
        <v>174</v>
      </c>
      <c r="B58" s="50"/>
      <c r="C58" s="50" t="s">
        <v>175</v>
      </c>
      <c r="D58" s="50"/>
      <c r="E58" s="50" t="s">
        <v>175</v>
      </c>
      <c r="F58" s="50"/>
      <c r="G58" s="50"/>
      <c r="H58" s="50" t="s">
        <v>175</v>
      </c>
      <c r="I58" s="50"/>
    </row>
    <row r="60" ht="13.5" customHeight="1" spans="1:9" x14ac:dyDescent="0.25">
      <c r="A60" s="68" t="s">
        <v>99</v>
      </c>
      <c r="B60" s="68"/>
      <c r="C60" s="68"/>
      <c r="D60" s="68"/>
      <c r="E60" s="68"/>
      <c r="F60" s="68"/>
      <c r="G60" s="68"/>
      <c r="H60" s="68"/>
      <c r="I60" s="68"/>
    </row>
    <row r="61" ht="13.5" customHeight="1" spans="1:9" x14ac:dyDescent="0.25">
      <c r="A61" s="69" t="s">
        <v>193</v>
      </c>
      <c r="B61" s="69"/>
      <c r="C61" s="69"/>
      <c r="D61" s="69"/>
      <c r="E61" s="69"/>
      <c r="F61" s="69"/>
      <c r="G61" s="69"/>
      <c r="H61" s="69"/>
      <c r="I61" s="69"/>
    </row>
    <row r="62" ht="24" customHeight="1" spans="1:9" x14ac:dyDescent="0.25">
      <c r="A62" s="69" t="s">
        <v>177</v>
      </c>
      <c r="B62" s="69"/>
      <c r="C62" s="69"/>
      <c r="D62" s="69"/>
      <c r="E62" s="69"/>
      <c r="F62" s="69"/>
      <c r="G62" s="69"/>
      <c r="H62" s="69"/>
      <c r="I62" s="69"/>
    </row>
    <row r="63" ht="24" customHeight="1" spans="1:9" x14ac:dyDescent="0.25">
      <c r="A63" s="69" t="s">
        <v>178</v>
      </c>
      <c r="B63" s="69"/>
      <c r="C63" s="69"/>
      <c r="D63" s="69"/>
      <c r="E63" s="69"/>
      <c r="F63" s="69"/>
      <c r="G63" s="69"/>
      <c r="H63" s="69"/>
      <c r="I63" s="69"/>
    </row>
    <row r="64" ht="24" customHeight="1" spans="1:9" x14ac:dyDescent="0.25">
      <c r="A64" s="69" t="s">
        <v>179</v>
      </c>
      <c r="B64" s="69"/>
      <c r="C64" s="69"/>
      <c r="D64" s="69"/>
      <c r="E64" s="69"/>
      <c r="F64" s="69"/>
      <c r="G64" s="69"/>
      <c r="H64" s="69"/>
      <c r="I64" s="69"/>
    </row>
  </sheetData>
  <mergeCells count="68">
    <mergeCell ref="A1:I1"/>
    <mergeCell ref="A2:I2"/>
    <mergeCell ref="A5:B5"/>
    <mergeCell ref="C5:E5"/>
    <mergeCell ref="F5:G5"/>
    <mergeCell ref="H5:I5"/>
    <mergeCell ref="A6:B6"/>
    <mergeCell ref="C6:E6"/>
    <mergeCell ref="F6:G6"/>
    <mergeCell ref="H6:I6"/>
    <mergeCell ref="A7:B7"/>
    <mergeCell ref="C7:E7"/>
    <mergeCell ref="F7:G7"/>
    <mergeCell ref="H7:I7"/>
    <mergeCell ref="A8:B8"/>
    <mergeCell ref="C8:E8"/>
    <mergeCell ref="F8:G8"/>
    <mergeCell ref="H8:I8"/>
    <mergeCell ref="A9:B9"/>
    <mergeCell ref="C9:E9"/>
    <mergeCell ref="F9:G9"/>
    <mergeCell ref="H9:I9"/>
    <mergeCell ref="A11:I11"/>
    <mergeCell ref="A30:I30"/>
    <mergeCell ref="A31:C31"/>
    <mergeCell ref="A32:C32"/>
    <mergeCell ref="A33:C33"/>
    <mergeCell ref="A34:C34"/>
    <mergeCell ref="A36:B36"/>
    <mergeCell ref="C36:I36"/>
    <mergeCell ref="A37:B39"/>
    <mergeCell ref="C37:I39"/>
    <mergeCell ref="A41:I41"/>
    <mergeCell ref="A42:B42"/>
    <mergeCell ref="C42:E42"/>
    <mergeCell ref="A43:B43"/>
    <mergeCell ref="C43:E43"/>
    <mergeCell ref="A44:B44"/>
    <mergeCell ref="C44:E44"/>
    <mergeCell ref="A46:I46"/>
    <mergeCell ref="B47:D47"/>
    <mergeCell ref="F47:I47"/>
    <mergeCell ref="B48:D48"/>
    <mergeCell ref="F48:I48"/>
    <mergeCell ref="B49:D49"/>
    <mergeCell ref="F49:I49"/>
    <mergeCell ref="A51:I51"/>
    <mergeCell ref="A52:B52"/>
    <mergeCell ref="C52:D52"/>
    <mergeCell ref="E52:G52"/>
    <mergeCell ref="H52:I52"/>
    <mergeCell ref="A53:B56"/>
    <mergeCell ref="C53:D56"/>
    <mergeCell ref="E53:G56"/>
    <mergeCell ref="H53:I56"/>
    <mergeCell ref="A57:B57"/>
    <mergeCell ref="C57:D57"/>
    <mergeCell ref="E57:G57"/>
    <mergeCell ref="H57:I57"/>
    <mergeCell ref="A58:B58"/>
    <mergeCell ref="C58:D58"/>
    <mergeCell ref="E58:G58"/>
    <mergeCell ref="H58:I58"/>
    <mergeCell ref="A60:I60"/>
    <mergeCell ref="A61:I61"/>
    <mergeCell ref="A62:I62"/>
    <mergeCell ref="A63:I63"/>
    <mergeCell ref="A64:I64"/>
  </mergeCells>
  <dataValidations count="1">
    <dataValidation type="list" errorStyle="stop" sqref="C7">
      <formula1>_lists!$B$2:$B$5</formula1>
      <formula2>0</formula2>
    </dataValidation>
  </dataValidations>
  <pageMargins left="0.4" right="0.4" top="1" bottom="1" header="0.511811023622047" footer="0.511811023622047"/>
  <pageSetup paperSize="9" orientation="portrait" horizontalDpi="300" verticalDpi="300" scale="100" fitToWidth="1" fitToHeight="0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 zoomScale="100" zoomScaleNormal="100" view="normal">
      <pane xSplit="3" ySplit="3" topLeftCell="D4" activePane="bottomRight" state="frozen"/>
      <selection pane="bottomRight" activeCell="A1" sqref="A1"/>
    </sheetView>
  </sheetViews>
  <sheetFormatPr defaultRowHeight="15" outlineLevelRow="0" outlineLevelCol="0" x14ac:dyDescent="0" defaultColWidth="8.6796875"/>
  <cols>
    <col min="1" max="1" width="40" customWidth="1"/>
    <col min="3" max="3" width="17" customWidth="1"/>
    <col min="5" max="5" width="17" customWidth="1"/>
    <col min="7" max="7" width="17" customWidth="1"/>
    <col min="9" max="9" width="17" customWidth="1"/>
  </cols>
  <sheetData>
    <row r="1" ht="31.5" customHeight="1" spans="1:9" x14ac:dyDescent="0.25">
      <c r="A1" s="13" t="s">
        <v>194</v>
      </c>
      <c r="B1" s="14" t="s">
        <v>195</v>
      </c>
      <c r="C1" s="14"/>
      <c r="D1" s="14" t="s">
        <v>196</v>
      </c>
      <c r="E1" s="14"/>
      <c r="F1" s="14" t="s">
        <v>197</v>
      </c>
      <c r="G1" s="14"/>
      <c r="H1" s="14" t="s">
        <v>198</v>
      </c>
      <c r="I1" s="14"/>
    </row>
    <row r="2" ht="48" customHeight="1" spans="1:9" x14ac:dyDescent="0.25">
      <c r="A2" s="13"/>
      <c r="B2" s="15"/>
      <c r="C2" s="15"/>
      <c r="D2" s="15" t="s">
        <v>199</v>
      </c>
      <c r="E2" s="15"/>
      <c r="F2" s="15" t="s">
        <v>200</v>
      </c>
      <c r="G2" s="15"/>
      <c r="H2" s="15" t="s">
        <v>201</v>
      </c>
      <c r="I2" s="15"/>
    </row>
    <row r="3" ht="15" customHeight="1" spans="1:9" x14ac:dyDescent="0.25">
      <c r="A3" s="13"/>
      <c r="B3" s="6" t="s">
        <v>81</v>
      </c>
      <c r="C3" s="6" t="s">
        <v>82</v>
      </c>
      <c r="D3" s="6" t="s">
        <v>81</v>
      </c>
      <c r="E3" s="6" t="s">
        <v>82</v>
      </c>
      <c r="F3" s="6" t="s">
        <v>81</v>
      </c>
      <c r="G3" s="6" t="s">
        <v>82</v>
      </c>
      <c r="H3" s="6" t="s">
        <v>81</v>
      </c>
      <c r="I3" s="6" t="s">
        <v>82</v>
      </c>
    </row>
    <row r="4" ht="18" customHeight="1" spans="1:9" x14ac:dyDescent="0.25">
      <c r="A4" s="16" t="s">
        <v>83</v>
      </c>
      <c r="B4" s="17"/>
      <c r="C4" s="18">
        <f>SUMIF($D$3:$I$3,"Rp",$D4:$I4)</f>
        <v>136073359</v>
      </c>
      <c r="D4" s="19"/>
      <c r="E4" s="20">
        <v>54419896</v>
      </c>
      <c r="F4" s="19"/>
      <c r="G4" s="20">
        <v>38112632</v>
      </c>
      <c r="H4" s="19"/>
      <c r="I4" s="20">
        <v>43540831</v>
      </c>
    </row>
    <row r="5" ht="18" customHeight="1" spans="1:9" x14ac:dyDescent="0.25">
      <c r="A5" s="16" t="s">
        <v>84</v>
      </c>
      <c r="B5" s="17"/>
      <c r="C5" s="18">
        <f>SUMIF($D$3:$I$3,"Rp",$D5:$I5)</f>
        <v>0</v>
      </c>
      <c r="D5" s="19"/>
      <c r="E5" s="20">
        <v>0</v>
      </c>
      <c r="F5" s="19"/>
      <c r="G5" s="20">
        <v>0</v>
      </c>
      <c r="H5" s="19"/>
      <c r="I5" s="20">
        <v>0</v>
      </c>
    </row>
    <row r="6" ht="18" customHeight="1" spans="1:9" x14ac:dyDescent="0.25">
      <c r="A6" s="21" t="s">
        <v>9</v>
      </c>
      <c r="B6" s="17"/>
      <c r="C6" s="18">
        <f>SUMIF($D$3:$I$3,"Rp",$D6:$I6)</f>
        <v>136073359</v>
      </c>
      <c r="D6" s="19"/>
      <c r="E6" s="18">
        <f>E4+E5</f>
        <v>54419896</v>
      </c>
      <c r="F6" s="19"/>
      <c r="G6" s="18">
        <f>G4+G5</f>
        <v>38112632</v>
      </c>
      <c r="H6" s="19"/>
      <c r="I6" s="18">
        <f>I4+I5</f>
        <v>43540831</v>
      </c>
    </row>
    <row r="7" ht="18" customHeight="1" spans="1:9" x14ac:dyDescent="0.25">
      <c r="A7" s="22" t="s">
        <v>85</v>
      </c>
      <c r="B7" s="23">
        <f>IF(C6=0,0,C7/C6)</f>
        <v>0.921597218012381</v>
      </c>
      <c r="C7" s="24">
        <f>SUMIF($D$3:$I$3,"Rp",$D7:$I7)</f>
        <v>125404829.1</v>
      </c>
      <c r="D7" s="23">
        <f>IF(E6=0,0,E7/E6)</f>
        <v>0.969403404606</v>
      </c>
      <c r="E7" s="24">
        <f>E8+E9+E10+E12+IF(Rekap!$C$5="Ya",E13,0)+SUM(E15:E21)</f>
        <v>52754832.4607044</v>
      </c>
      <c r="F7" s="23">
        <f>IF(G6=0,0,G7/G6)</f>
        <v>0.969403404606</v>
      </c>
      <c r="G7" s="24">
        <f>G8+G9+G10+G12+IF(Rekap!$C$5="Ya",G13,0)+SUM(G15:G21)</f>
        <v>36946515.2192956</v>
      </c>
      <c r="H7" s="23">
        <f>IF(I6=0,0,I7/I6)</f>
        <v>0.82</v>
      </c>
      <c r="I7" s="24">
        <f>I8+I9+I10+I12+IF(Rekap!$C$5="Ya",I13,0)+SUM(I15:I21)</f>
        <v>35703481.42</v>
      </c>
    </row>
    <row r="8" ht="18" customHeight="1" spans="1:9" x14ac:dyDescent="0.25">
      <c r="A8" s="16" t="s">
        <v>86</v>
      </c>
      <c r="B8" s="25">
        <f>IF(C4=0,0,C8/C4)</f>
        <v>0.57</v>
      </c>
      <c r="C8" s="26">
        <f>SUMIF($D$3:$I$3,"Rp",$D8:$I8)</f>
        <v>77561814.63</v>
      </c>
      <c r="D8" s="27">
        <v>0.57</v>
      </c>
      <c r="E8" s="26">
        <f>D8*E$4</f>
        <v>31019340.72</v>
      </c>
      <c r="F8" s="27">
        <v>0.57</v>
      </c>
      <c r="G8" s="26">
        <f>F8*G$4</f>
        <v>21724200.24</v>
      </c>
      <c r="H8" s="27">
        <v>0.57</v>
      </c>
      <c r="I8" s="26">
        <f>H8*I$4</f>
        <v>24818273.67</v>
      </c>
    </row>
    <row r="9" ht="18" customHeight="1" spans="1:9" x14ac:dyDescent="0.25">
      <c r="A9" s="16" t="s">
        <v>87</v>
      </c>
      <c r="B9" s="25">
        <f>IF(C4=0,0,C9/C4)</f>
        <v>0</v>
      </c>
      <c r="C9" s="26">
        <f>SUMIF($D$3:$I$3,"Rp",$D9:$I9)</f>
        <v>0</v>
      </c>
      <c r="D9" s="25">
        <f>IF(E$5=0,0,E9/E$5)</f>
        <v>0</v>
      </c>
      <c r="E9" s="20">
        <v>0</v>
      </c>
      <c r="F9" s="25">
        <f>IF(G$5=0,0,G9/G$5)</f>
        <v>0</v>
      </c>
      <c r="G9" s="20">
        <v>0</v>
      </c>
      <c r="H9" s="25">
        <f>IF(I$5=0,0,I9/I$5)</f>
        <v>0</v>
      </c>
      <c r="I9" s="20">
        <v>0</v>
      </c>
    </row>
    <row r="10" ht="18" customHeight="1" spans="1:9" x14ac:dyDescent="0.25">
      <c r="A10" s="16" t="s">
        <v>88</v>
      </c>
      <c r="B10" s="25">
        <f>IF(C4=0,0,C10/C4)</f>
        <v>0.00367448855289888</v>
      </c>
      <c r="C10" s="26">
        <f>SUMIF($D$3:$I$3,"Rp",$D10:$I10)</f>
        <v>500000</v>
      </c>
      <c r="D10" s="27">
        <v>0.00540350524088135</v>
      </c>
      <c r="E10" s="26">
        <f>D10*E$4</f>
        <v>294058.193244218</v>
      </c>
      <c r="F10" s="27">
        <v>0.00540350524088135</v>
      </c>
      <c r="G10" s="26">
        <f>F10*G$4</f>
        <v>205941.806755782</v>
      </c>
      <c r="H10" s="27">
        <v>0</v>
      </c>
      <c r="I10" s="26">
        <f>H10*I$4</f>
        <v>0</v>
      </c>
    </row>
    <row r="11" ht="18" customHeight="1" spans="1:9" x14ac:dyDescent="0.25">
      <c r="A11" s="16" t="s">
        <v>11</v>
      </c>
      <c r="B11" s="25">
        <f>IF(C7=0,0,C11/C7)</f>
        <v>0.1</v>
      </c>
      <c r="C11" s="26">
        <f>SUMIF($D$3:$I$3,"Rp",$D11:$I11)</f>
        <v>12540482.91</v>
      </c>
      <c r="D11" s="25">
        <f>Rekap!$C$4</f>
        <v>0.1</v>
      </c>
      <c r="E11" s="26">
        <f>D11*E$7</f>
        <v>5275483.24607044</v>
      </c>
      <c r="F11" s="25">
        <f>Rekap!$C$4</f>
        <v>0.1</v>
      </c>
      <c r="G11" s="26">
        <f>F11*G$7</f>
        <v>3694651.52192956</v>
      </c>
      <c r="H11" s="25">
        <f>Rekap!$C$4</f>
        <v>0.1</v>
      </c>
      <c r="I11" s="26">
        <f>H11*I$7</f>
        <v>3570348.142</v>
      </c>
    </row>
    <row r="12" ht="18" customHeight="1" spans="1:9" x14ac:dyDescent="0.25">
      <c r="A12" s="16" t="s">
        <v>89</v>
      </c>
      <c r="B12" s="25">
        <f>IF(C6=0,0,C12/C6)</f>
        <v>0.025</v>
      </c>
      <c r="C12" s="26">
        <f>SUMIF($D$3:$I$3,"Rp",$D12:$I12)</f>
        <v>3401833.975</v>
      </c>
      <c r="D12" s="27">
        <v>0.025</v>
      </c>
      <c r="E12" s="26">
        <f>D12*E$6</f>
        <v>1360497.4</v>
      </c>
      <c r="F12" s="27">
        <v>0.025</v>
      </c>
      <c r="G12" s="26">
        <f>F12*G$6</f>
        <v>952815.8</v>
      </c>
      <c r="H12" s="27">
        <v>0.025</v>
      </c>
      <c r="I12" s="26">
        <f>H12*I$6</f>
        <v>1088520.775</v>
      </c>
    </row>
    <row r="13" ht="18" customHeight="1" spans="1:9" x14ac:dyDescent="0.25">
      <c r="A13" s="16" t="s">
        <v>90</v>
      </c>
      <c r="B13" s="25">
        <f>IF(C4=0,0,C13/C4)</f>
        <v>0.1</v>
      </c>
      <c r="C13" s="26">
        <f>SUMIF($D$3:$I$3,"Rp",$D13:$I13)</f>
        <v>13607335.9</v>
      </c>
      <c r="D13" s="27">
        <v>0.1</v>
      </c>
      <c r="E13" s="26">
        <f>D13*E$4</f>
        <v>5441989.6</v>
      </c>
      <c r="F13" s="27">
        <v>0.1</v>
      </c>
      <c r="G13" s="26">
        <f>F13*G$4</f>
        <v>3811263.2</v>
      </c>
      <c r="H13" s="27">
        <v>0.1</v>
      </c>
      <c r="I13" s="26">
        <f>H13*I$4</f>
        <v>4354083.1</v>
      </c>
    </row>
    <row r="14" ht="18" customHeight="1" spans="1:9" x14ac:dyDescent="0.25">
      <c r="A14" s="22" t="s">
        <v>91</v>
      </c>
      <c r="B14" s="28"/>
      <c r="C14" s="28"/>
      <c r="D14" s="28"/>
      <c r="E14" s="28"/>
      <c r="F14" s="28"/>
      <c r="G14" s="28"/>
      <c r="H14" s="28"/>
      <c r="I14" s="28"/>
    </row>
    <row r="15" ht="18" customHeight="1" spans="1:9" x14ac:dyDescent="0.25">
      <c r="A15" s="16" t="s">
        <v>92</v>
      </c>
      <c r="B15" s="25">
        <f>IF(C4=0,0,C15/C4)</f>
        <v>0.0273213227212242</v>
      </c>
      <c r="C15" s="26">
        <f>SUMIF($D$3:$I$3,"Rp",$D15:$I15)</f>
        <v>3717704.155</v>
      </c>
      <c r="D15" s="27">
        <v>0.0378245366861694</v>
      </c>
      <c r="E15" s="26">
        <f>D15*E$4</f>
        <v>2058407.35270953</v>
      </c>
      <c r="F15" s="27">
        <v>0.0378245366861694</v>
      </c>
      <c r="G15" s="26">
        <f>F15*G$4</f>
        <v>1441592.64729048</v>
      </c>
      <c r="H15" s="27">
        <v>0.005</v>
      </c>
      <c r="I15" s="26">
        <f>H15*I$4</f>
        <v>217704.155</v>
      </c>
    </row>
    <row r="16" ht="18" customHeight="1" spans="1:9" x14ac:dyDescent="0.25">
      <c r="A16" s="16" t="s">
        <v>93</v>
      </c>
      <c r="B16" s="25">
        <f>IF(C4=0,0,C16/C4)</f>
        <v>0.0546426454424484</v>
      </c>
      <c r="C16" s="26">
        <f>SUMIF($D$3:$I$3,"Rp",$D16:$I16)</f>
        <v>7435408.31</v>
      </c>
      <c r="D16" s="27">
        <v>0.0756490733723389</v>
      </c>
      <c r="E16" s="26">
        <f>D16*E$4</f>
        <v>4116814.70541905</v>
      </c>
      <c r="F16" s="27">
        <v>0.0756490733723389</v>
      </c>
      <c r="G16" s="26">
        <f>F16*G$4</f>
        <v>2883185.29458095</v>
      </c>
      <c r="H16" s="27">
        <v>0.01</v>
      </c>
      <c r="I16" s="26">
        <f>H16*I$4</f>
        <v>435408.31</v>
      </c>
    </row>
    <row r="17" ht="18" customHeight="1" spans="1:9" x14ac:dyDescent="0.25">
      <c r="A17" s="16" t="s">
        <v>94</v>
      </c>
      <c r="B17" s="25">
        <f>IF(C4=0,0,C17/C4)</f>
        <v>0.0304005828944077</v>
      </c>
      <c r="C17" s="26">
        <f>SUMIF($D$3:$I$3,"Rp",$D17:$I17)</f>
        <v>4136709.43</v>
      </c>
      <c r="D17" s="27">
        <v>0.04</v>
      </c>
      <c r="E17" s="26">
        <f>D17*E$4</f>
        <v>2176795.84</v>
      </c>
      <c r="F17" s="27">
        <v>0.04</v>
      </c>
      <c r="G17" s="26">
        <f>F17*G$4</f>
        <v>1524505.28</v>
      </c>
      <c r="H17" s="27">
        <v>0.01</v>
      </c>
      <c r="I17" s="26">
        <f>H17*I$4</f>
        <v>435408.31</v>
      </c>
    </row>
    <row r="18" ht="18" customHeight="1" spans="1:9" x14ac:dyDescent="0.25">
      <c r="A18" s="16" t="s">
        <v>95</v>
      </c>
      <c r="B18" s="25">
        <f>IF(C4=0,0,C18/C4)</f>
        <v>0.0199723456154265</v>
      </c>
      <c r="C18" s="26">
        <f>SUMIF($D$3:$I$3,"Rp",$D18:$I18)</f>
        <v>2717704.155</v>
      </c>
      <c r="D18" s="27">
        <v>0.0270175262044067</v>
      </c>
      <c r="E18" s="26">
        <f>D18*E$4</f>
        <v>1470290.96622109</v>
      </c>
      <c r="F18" s="27">
        <v>0.0270175262044067</v>
      </c>
      <c r="G18" s="26">
        <f>F18*G$4</f>
        <v>1029709.03377891</v>
      </c>
      <c r="H18" s="27">
        <v>0.005</v>
      </c>
      <c r="I18" s="26">
        <f>H18*I$4</f>
        <v>217704.155</v>
      </c>
    </row>
    <row r="19" ht="18" customHeight="1" spans="1:9" x14ac:dyDescent="0.25">
      <c r="A19" s="16" t="s">
        <v>96</v>
      </c>
      <c r="B19" s="25">
        <f>IF(C4=0,0,C19/C4)</f>
        <v>0.0155858327859754</v>
      </c>
      <c r="C19" s="26">
        <f>SUMIF($D$3:$I$3,"Rp",$D19:$I19)</f>
        <v>2120816.62</v>
      </c>
      <c r="D19" s="27">
        <v>0.0135087631022034</v>
      </c>
      <c r="E19" s="26">
        <f>D19*E$4</f>
        <v>735145.483110545</v>
      </c>
      <c r="F19" s="27">
        <v>0.0135087631022034</v>
      </c>
      <c r="G19" s="26">
        <f>F19*G$4</f>
        <v>514854.516889455</v>
      </c>
      <c r="H19" s="27">
        <v>0.02</v>
      </c>
      <c r="I19" s="26">
        <f>H19*I$4</f>
        <v>870816.62</v>
      </c>
    </row>
    <row r="20" ht="18" customHeight="1" spans="1:9" x14ac:dyDescent="0.25">
      <c r="A20" s="16" t="s">
        <v>97</v>
      </c>
      <c r="B20" s="25">
        <f>IF(C4=0,0,C20/C4)</f>
        <v>0.06</v>
      </c>
      <c r="C20" s="26">
        <f>SUMIF($D$3:$I$3,"Rp",$D20:$I20)</f>
        <v>8164401.54</v>
      </c>
      <c r="D20" s="27">
        <v>0.06</v>
      </c>
      <c r="E20" s="26">
        <f>D20*E$4</f>
        <v>3265193.76</v>
      </c>
      <c r="F20" s="27">
        <v>0.06</v>
      </c>
      <c r="G20" s="26">
        <f>F20*G$4</f>
        <v>2286757.92</v>
      </c>
      <c r="H20" s="27">
        <v>0.06</v>
      </c>
      <c r="I20" s="26">
        <f>H20*I$4</f>
        <v>2612449.86</v>
      </c>
    </row>
    <row r="21" ht="18" customHeight="1" spans="1:9" x14ac:dyDescent="0.25">
      <c r="A21" s="16" t="s">
        <v>98</v>
      </c>
      <c r="B21" s="25">
        <f>IF(C4=0,0,C21/C4)</f>
        <v>0.015</v>
      </c>
      <c r="C21" s="26">
        <f>SUMIF($D$3:$I$3,"Rp",$D21:$I21)</f>
        <v>2041100.385</v>
      </c>
      <c r="D21" s="27">
        <v>0.015</v>
      </c>
      <c r="E21" s="26">
        <f>D21*E$4</f>
        <v>816298.44</v>
      </c>
      <c r="F21" s="27">
        <v>0.015</v>
      </c>
      <c r="G21" s="26">
        <f>F21*G$4</f>
        <v>571689.48</v>
      </c>
      <c r="H21" s="27">
        <v>0.015</v>
      </c>
      <c r="I21" s="26">
        <f>H21*I$4</f>
        <v>653112.465</v>
      </c>
    </row>
    <row r="22" ht="18" customHeight="1" spans="1:9" x14ac:dyDescent="0.25">
      <c r="A22" s="22" t="s">
        <v>12</v>
      </c>
      <c r="B22" s="23">
        <f>IF(C6=0,0,C22/C6)</f>
        <v>1.01375693981362</v>
      </c>
      <c r="C22" s="24">
        <f>SUMIF($D$3:$I$3,"Rp",$D22:$I22)</f>
        <v>137945312.01</v>
      </c>
      <c r="D22" s="23">
        <f>IF(E6=0,0,E22/E6)</f>
        <v>1.0663437450666</v>
      </c>
      <c r="E22" s="24">
        <f>SUM(E8:E21)-IF(Rekap!$C$5="Ya",0,E13)</f>
        <v>58030315.7067749</v>
      </c>
      <c r="F22" s="23">
        <f>IF(G6=0,0,G22/G6)</f>
        <v>1.0663437450666</v>
      </c>
      <c r="G22" s="24">
        <f>SUM(G8:G21)-IF(Rekap!$C$5="Ya",0,G13)</f>
        <v>40641166.7412251</v>
      </c>
      <c r="H22" s="23">
        <f>IF(I6=0,0,I22/I6)</f>
        <v>0.902</v>
      </c>
      <c r="I22" s="24">
        <f>SUM(I8:I21)-IF(Rekap!$C$5="Ya",0,I13)</f>
        <v>39273829.562</v>
      </c>
    </row>
    <row r="23" ht="18" customHeight="1" spans="1:9" x14ac:dyDescent="0.25">
      <c r="A23" s="21" t="s">
        <v>13</v>
      </c>
      <c r="B23" s="17">
        <f>IF(C6=0,0,C23/C6)</f>
        <v>-0.0137569398136191</v>
      </c>
      <c r="C23" s="18">
        <f>SUMIF($D$3:$I$3,"Rp",$D23:$I23)</f>
        <v>-1871953.00999999</v>
      </c>
      <c r="D23" s="17">
        <f>IF(E6=0,0,E23/E6)</f>
        <v>-0.0663437450665997</v>
      </c>
      <c r="E23" s="18">
        <f>E6-E22</f>
        <v>-3610419.70677487</v>
      </c>
      <c r="F23" s="17">
        <f>IF(G6=0,0,G23/G6)</f>
        <v>-0.0663437450665995</v>
      </c>
      <c r="G23" s="18">
        <f>G6-G22</f>
        <v>-2528534.74122512</v>
      </c>
      <c r="H23" s="17">
        <f>IF(I6=0,0,I23/I6)</f>
        <v>0.098</v>
      </c>
      <c r="I23" s="18">
        <f>I6-I22</f>
        <v>4267001.438</v>
      </c>
    </row>
    <row r="25" ht="15" customHeight="1" spans="1:1" x14ac:dyDescent="0.25">
      <c r="A25" s="29" t="s">
        <v>99</v>
      </c>
    </row>
    <row r="26" ht="15" customHeight="1" spans="1:1" x14ac:dyDescent="0.25">
      <c r="A26" s="4" t="s">
        <v>100</v>
      </c>
    </row>
    <row r="27" ht="15" customHeight="1" spans="1:1" x14ac:dyDescent="0.25">
      <c r="A27" s="4" t="s">
        <v>101</v>
      </c>
    </row>
    <row r="28" ht="15" customHeight="1" spans="1:1" x14ac:dyDescent="0.25">
      <c r="A28" s="4" t="s">
        <v>102</v>
      </c>
    </row>
    <row r="29" ht="15" customHeight="1" spans="1:1" x14ac:dyDescent="0.25">
      <c r="A29" s="4" t="s">
        <v>103</v>
      </c>
    </row>
  </sheetData>
  <mergeCells count="9">
    <mergeCell ref="B1:C1"/>
    <mergeCell ref="D1:E1"/>
    <mergeCell ref="F1:G1"/>
    <mergeCell ref="H1:I1"/>
    <mergeCell ref="A1:A3"/>
    <mergeCell ref="B2:C2"/>
    <mergeCell ref="D2:E2"/>
    <mergeCell ref="F2:G2"/>
    <mergeCell ref="H2:I2"/>
  </mergeCells>
  <conditionalFormatting sqref="B23:I23">
    <cfRule type="cellIs" dxfId="3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workbookViewId="0" zoomScale="100" zoomScaleNormal="100" view="normal">
      <selection activeCell="A1" sqref="A1"/>
    </sheetView>
  </sheetViews>
  <sheetFormatPr defaultRowHeight="14.25" outlineLevelRow="0" outlineLevelCol="0" x14ac:dyDescent="0" defaultColWidth="8.6328125" customHeight="1"/>
  <cols>
    <col min="1" max="1" width="5" style="30" customWidth="1"/>
    <col min="2" max="2" width="34" style="30" customWidth="1"/>
    <col min="3" max="3" width="9" style="30" customWidth="1"/>
    <col min="4" max="4" width="16" style="30" customWidth="1"/>
    <col min="5" max="5" width="10.91" style="30" customWidth="1"/>
    <col min="6" max="8" width="16" style="30" customWidth="1"/>
    <col min="9" max="9" width="28" style="30" customWidth="1"/>
    <col min="11" max="11" width="13" hidden="1" customWidth="1"/>
  </cols>
  <sheetData>
    <row r="1" ht="30" customHeight="1" spans="1:9" x14ac:dyDescent="0.25">
      <c r="A1" s="31" t="s">
        <v>104</v>
      </c>
      <c r="B1" s="31"/>
      <c r="C1" s="31"/>
      <c r="D1" s="31"/>
      <c r="E1" s="31"/>
      <c r="F1" s="31"/>
      <c r="G1" s="31"/>
      <c r="H1" s="31"/>
      <c r="I1" s="31"/>
    </row>
    <row r="2" ht="15" customHeight="1" spans="1:9" x14ac:dyDescent="0.25">
      <c r="A2" s="32" t="s">
        <v>202</v>
      </c>
      <c r="B2" s="32"/>
      <c r="C2" s="32"/>
      <c r="D2" s="32"/>
      <c r="E2" s="32"/>
      <c r="F2" s="32"/>
      <c r="G2" s="32"/>
      <c r="H2" s="32"/>
      <c r="I2" s="32"/>
    </row>
    <row r="3" ht="15" customHeight="1" spans="1:1" x14ac:dyDescent="0.25">
      <c r="A3" s="33" t="s">
        <v>203</v>
      </c>
    </row>
    <row r="5" ht="15" customHeight="1" spans="1:9" x14ac:dyDescent="0.25">
      <c r="A5" s="34" t="s">
        <v>107</v>
      </c>
      <c r="B5" s="34"/>
      <c r="C5" s="35" t="s">
        <v>204</v>
      </c>
      <c r="D5" s="35"/>
      <c r="E5" s="35"/>
      <c r="F5" s="34" t="s">
        <v>109</v>
      </c>
      <c r="G5" s="34"/>
      <c r="H5" s="35" t="s">
        <v>110</v>
      </c>
      <c r="I5" s="35"/>
    </row>
    <row r="6" ht="15" customHeight="1" spans="1:11" x14ac:dyDescent="0.25">
      <c r="A6" s="34" t="s">
        <v>111</v>
      </c>
      <c r="B6" s="34"/>
      <c r="C6" s="36">
        <v>46308</v>
      </c>
      <c r="D6" s="36"/>
      <c r="E6" s="36"/>
      <c r="F6" s="34" t="s">
        <v>112</v>
      </c>
      <c r="G6" s="34"/>
      <c r="H6" s="35"/>
      <c r="I6" s="35"/>
      <c r="K6" t="s">
        <v>113</v>
      </c>
    </row>
    <row r="7" ht="15" customHeight="1" spans="1:11" x14ac:dyDescent="0.25">
      <c r="A7" s="34" t="s">
        <v>114</v>
      </c>
      <c r="B7" s="34"/>
      <c r="C7" s="37" t="s">
        <v>196</v>
      </c>
      <c r="D7" s="37"/>
      <c r="E7" s="37"/>
      <c r="F7" s="34" t="s">
        <v>115</v>
      </c>
      <c r="G7" s="34"/>
      <c r="H7" s="35" t="s">
        <v>116</v>
      </c>
      <c r="I7" s="35"/>
      <c r="K7">
        <f>MATCH($C$7,CCSI!$1:$1,0)</f>
        <v>4</v>
      </c>
    </row>
    <row r="8" ht="15" customHeight="1" spans="1:9" x14ac:dyDescent="0.25">
      <c r="A8" s="34" t="s">
        <v>117</v>
      </c>
      <c r="B8" s="34"/>
      <c r="C8" s="38" t="s">
        <v>17</v>
      </c>
      <c r="D8" s="38"/>
      <c r="E8" s="38"/>
      <c r="F8" s="34" t="s">
        <v>119</v>
      </c>
      <c r="G8" s="34"/>
      <c r="H8" s="35">
        <v>1</v>
      </c>
      <c r="I8" s="35"/>
    </row>
    <row r="9" ht="15" customHeight="1" spans="1:9" x14ac:dyDescent="0.25">
      <c r="A9" s="34" t="s">
        <v>120</v>
      </c>
      <c r="B9" s="34"/>
      <c r="C9" s="39">
        <f>INDEX(CCSI!$6:$6,$K$7+1)</f>
        <v>54419896</v>
      </c>
      <c r="D9" s="39"/>
      <c r="E9" s="39"/>
      <c r="F9" s="34" t="s">
        <v>121</v>
      </c>
      <c r="G9" s="34"/>
      <c r="H9" s="35" t="s">
        <v>122</v>
      </c>
      <c r="I9" s="35"/>
    </row>
    <row r="11" ht="15" customHeight="1" spans="1:9" x14ac:dyDescent="0.25">
      <c r="A11" s="40" t="s">
        <v>123</v>
      </c>
      <c r="B11" s="40"/>
      <c r="C11" s="40"/>
      <c r="D11" s="40"/>
      <c r="E11" s="40"/>
      <c r="F11" s="40"/>
      <c r="G11" s="40"/>
      <c r="H11" s="40"/>
      <c r="I11" s="40"/>
    </row>
    <row r="12" ht="31.5" customHeight="1" spans="1:9" x14ac:dyDescent="0.25">
      <c r="A12" s="41" t="s">
        <v>124</v>
      </c>
      <c r="B12" s="41" t="s">
        <v>125</v>
      </c>
      <c r="C12" s="41" t="s">
        <v>126</v>
      </c>
      <c r="D12" s="41" t="s">
        <v>127</v>
      </c>
      <c r="E12" s="41" t="s">
        <v>128</v>
      </c>
      <c r="F12" s="41" t="s">
        <v>129</v>
      </c>
      <c r="G12" s="41" t="s">
        <v>130</v>
      </c>
      <c r="H12" s="41" t="s">
        <v>131</v>
      </c>
      <c r="I12" s="41" t="s">
        <v>132</v>
      </c>
    </row>
    <row r="13" ht="15" customHeight="1" spans="1:9" x14ac:dyDescent="0.25">
      <c r="A13" s="34" t="s">
        <v>133</v>
      </c>
      <c r="B13" s="34" t="s">
        <v>134</v>
      </c>
      <c r="C13" s="42"/>
      <c r="D13" s="42"/>
      <c r="E13" s="42"/>
      <c r="F13" s="42"/>
      <c r="G13" s="42"/>
      <c r="H13" s="42"/>
      <c r="I13" s="42"/>
    </row>
    <row r="14" ht="15" customHeight="1" spans="1:9" x14ac:dyDescent="0.25">
      <c r="A14" s="43">
        <v>1</v>
      </c>
      <c r="B14" s="44" t="str">
        <f>TRIM(CCSI!$A$8)</f>
        <v>Biaya Subcon</v>
      </c>
      <c r="C14" s="45">
        <f>IF($C$9=0,0,D14/$C$9)</f>
        <v>0.57</v>
      </c>
      <c r="D14" s="46">
        <f>INDEX(CCSI!$8:$8,$K$7+1)</f>
        <v>31019340.72</v>
      </c>
      <c r="E14" s="47">
        <v>1</v>
      </c>
      <c r="F14" s="48">
        <f>ROUND(D14*E14,0)</f>
        <v>31019341</v>
      </c>
      <c r="G14" s="49">
        <v>0</v>
      </c>
      <c r="H14" s="48">
        <f>ROUND(D14,0)-G14-F14</f>
        <v>0</v>
      </c>
      <c r="I14" s="50" t="s">
        <v>135</v>
      </c>
    </row>
    <row r="15" ht="15" customHeight="1" spans="1:9" x14ac:dyDescent="0.25">
      <c r="A15" s="43">
        <v>2</v>
      </c>
      <c r="B15" s="44" t="str">
        <f>TRIM(CCSI!$A$9)</f>
        <v>Biaya Permit</v>
      </c>
      <c r="C15" s="45">
        <f>IF($C$9=0,0,D15/$C$9)</f>
        <v>0</v>
      </c>
      <c r="D15" s="46">
        <f>INDEX(CCSI!$9:$9,$K$7+1)</f>
        <v>0</v>
      </c>
      <c r="E15" s="47">
        <v>1</v>
      </c>
      <c r="F15" s="48">
        <f>ROUND(D15*E15,0)</f>
        <v>0</v>
      </c>
      <c r="G15" s="49">
        <v>0</v>
      </c>
      <c r="H15" s="48">
        <f>ROUND(D15,0)-G15-F15</f>
        <v>0</v>
      </c>
      <c r="I15" s="50" t="s">
        <v>136</v>
      </c>
    </row>
    <row r="16" ht="15" customHeight="1" spans="1:9" x14ac:dyDescent="0.25">
      <c r="A16" s="43">
        <v>3</v>
      </c>
      <c r="B16" s="44" t="str">
        <f>TRIM(CCSI!$A$10)</f>
        <v>Ticket Internal</v>
      </c>
      <c r="C16" s="45">
        <f>IF($C$9=0,0,D16/$C$9)</f>
        <v>0.00540350524088135</v>
      </c>
      <c r="D16" s="46">
        <f>INDEX(CCSI!$10:$10,$K$7+1)</f>
        <v>294058.193244218</v>
      </c>
      <c r="E16" s="47">
        <v>1</v>
      </c>
      <c r="F16" s="48">
        <f>ROUND(D16*E16,0)</f>
        <v>294058</v>
      </c>
      <c r="G16" s="49">
        <v>0</v>
      </c>
      <c r="H16" s="48">
        <f>ROUND(D16,0)-G16-F16</f>
        <v>0</v>
      </c>
      <c r="I16" s="50" t="s">
        <v>137</v>
      </c>
    </row>
    <row r="17" ht="15" customHeight="1" spans="1:9" x14ac:dyDescent="0.25">
      <c r="A17" s="43">
        <v>4</v>
      </c>
      <c r="B17" s="44" t="str">
        <f>TRIM(CCSI!$A$12)</f>
        <v>Pajak</v>
      </c>
      <c r="C17" s="45">
        <f>IF($C$9=0,0,D17/$C$9)</f>
        <v>0.025</v>
      </c>
      <c r="D17" s="46">
        <f>INDEX(CCSI!$12:$12,$K$7+1)</f>
        <v>1360497.4</v>
      </c>
      <c r="E17" s="47">
        <v>1</v>
      </c>
      <c r="F17" s="48">
        <f>ROUND(D17*E17,0)</f>
        <v>1360497</v>
      </c>
      <c r="G17" s="49">
        <v>0</v>
      </c>
      <c r="H17" s="48">
        <f>ROUND(D17,0)-G17-F17</f>
        <v>0</v>
      </c>
      <c r="I17" s="50" t="s">
        <v>138</v>
      </c>
    </row>
    <row r="18" ht="15" customHeight="1" spans="1:9" x14ac:dyDescent="0.25">
      <c r="A18" s="51"/>
      <c r="B18" s="52" t="s">
        <v>139</v>
      </c>
      <c r="C18" s="53">
        <f>SUM(C14:C17)</f>
        <v>0.600403505240881</v>
      </c>
      <c r="D18" s="54">
        <f>SUM(D14:D17)</f>
        <v>32673896.3132442</v>
      </c>
      <c r="E18" s="51"/>
      <c r="F18" s="54">
        <f>SUM(F14:F17)</f>
        <v>32673896</v>
      </c>
      <c r="G18" s="54">
        <f>SUM(G14:G17)</f>
        <v>0</v>
      </c>
      <c r="H18" s="54">
        <f>SUM(H14:H17)</f>
        <v>0</v>
      </c>
      <c r="I18" s="51"/>
    </row>
    <row r="19" ht="15" customHeight="1" spans="1:9" x14ac:dyDescent="0.25">
      <c r="A19" s="34" t="s">
        <v>140</v>
      </c>
      <c r="B19" s="34" t="s">
        <v>91</v>
      </c>
      <c r="C19" s="42"/>
      <c r="D19" s="42"/>
      <c r="E19" s="42"/>
      <c r="F19" s="42"/>
      <c r="G19" s="42"/>
      <c r="H19" s="42"/>
      <c r="I19" s="42"/>
    </row>
    <row r="20" ht="15" customHeight="1" spans="1:9" x14ac:dyDescent="0.25">
      <c r="A20" s="43">
        <v>1</v>
      </c>
      <c r="B20" s="44" t="str">
        <f>TRIM(CCSI!$A$15)</f>
        <v>Indirect Cost</v>
      </c>
      <c r="C20" s="45">
        <f>IF($C$9=0,0,D20/$C$9)</f>
        <v>0.0378245366861694</v>
      </c>
      <c r="D20" s="46">
        <f>INDEX(CCSI!$15:$15,$K$7+1)</f>
        <v>2058407.35270953</v>
      </c>
      <c r="E20" s="47">
        <v>1</v>
      </c>
      <c r="F20" s="48">
        <f>ROUND(D20*E20,0)</f>
        <v>2058407</v>
      </c>
      <c r="G20" s="49">
        <v>0</v>
      </c>
      <c r="H20" s="48">
        <f>ROUND(D20,0)-G20-F20</f>
        <v>0</v>
      </c>
      <c r="I20" s="50"/>
    </row>
    <row r="21" ht="15" customHeight="1" spans="1:9" x14ac:dyDescent="0.25">
      <c r="A21" s="43">
        <v>2</v>
      </c>
      <c r="B21" s="44" t="str">
        <f>TRIM(CCSI!$A$16)</f>
        <v>Direct Cost</v>
      </c>
      <c r="C21" s="45">
        <f>IF($C$9=0,0,D21/$C$9)</f>
        <v>0.0756490733723389</v>
      </c>
      <c r="D21" s="46">
        <f>INDEX(CCSI!$16:$16,$K$7+1)</f>
        <v>4116814.70541905</v>
      </c>
      <c r="E21" s="47">
        <v>1</v>
      </c>
      <c r="F21" s="48">
        <f>ROUND(D21*E21,0)</f>
        <v>4116815</v>
      </c>
      <c r="G21" s="49">
        <v>0</v>
      </c>
      <c r="H21" s="48">
        <f>ROUND(D21,0)-G21-F21</f>
        <v>0</v>
      </c>
      <c r="I21" s="50" t="s">
        <v>141</v>
      </c>
    </row>
    <row r="22" ht="15" customHeight="1" spans="1:9" x14ac:dyDescent="0.25">
      <c r="A22" s="43">
        <v>3</v>
      </c>
      <c r="B22" s="44" t="str">
        <f>TRIM(CCSI!$A$17)</f>
        <v>Operational Kantor</v>
      </c>
      <c r="C22" s="45">
        <f>IF($C$9=0,0,D22/$C$9)</f>
        <v>0.04</v>
      </c>
      <c r="D22" s="46">
        <f>INDEX(CCSI!$17:$17,$K$7+1)</f>
        <v>2176795.84</v>
      </c>
      <c r="E22" s="47">
        <v>1</v>
      </c>
      <c r="F22" s="48">
        <f>ROUND(D22*E22,0)</f>
        <v>2176796</v>
      </c>
      <c r="G22" s="49">
        <v>0</v>
      </c>
      <c r="H22" s="48">
        <f>ROUND(D22,0)-G22-F22</f>
        <v>0</v>
      </c>
      <c r="I22" s="50"/>
    </row>
    <row r="23" ht="15" customHeight="1" spans="1:9" x14ac:dyDescent="0.25">
      <c r="A23" s="43">
        <v>4</v>
      </c>
      <c r="B23" s="44" t="str">
        <f>TRIM(CCSI!$A$18)</f>
        <v>Motor dan Mobil</v>
      </c>
      <c r="C23" s="45">
        <f>IF($C$9=0,0,D23/$C$9)</f>
        <v>0.0270175262044067</v>
      </c>
      <c r="D23" s="46">
        <f>INDEX(CCSI!$18:$18,$K$7+1)</f>
        <v>1470290.96622109</v>
      </c>
      <c r="E23" s="47">
        <v>1</v>
      </c>
      <c r="F23" s="48">
        <f>ROUND(D23*E23,0)</f>
        <v>1470291</v>
      </c>
      <c r="G23" s="49">
        <v>0</v>
      </c>
      <c r="H23" s="48">
        <f>ROUND(D23,0)-G23-F23</f>
        <v>0</v>
      </c>
      <c r="I23" s="50" t="s">
        <v>142</v>
      </c>
    </row>
    <row r="24" ht="15" customHeight="1" spans="1:9" x14ac:dyDescent="0.25">
      <c r="A24" s="43">
        <v>5</v>
      </c>
      <c r="B24" s="44" t="str">
        <f>TRIM(CCSI!$A$19)</f>
        <v>Homebase</v>
      </c>
      <c r="C24" s="45">
        <f>IF($C$9=0,0,D24/$C$9)</f>
        <v>0.0135087631022034</v>
      </c>
      <c r="D24" s="46">
        <f>INDEX(CCSI!$19:$19,$K$7+1)</f>
        <v>735145.483110545</v>
      </c>
      <c r="E24" s="47">
        <v>1</v>
      </c>
      <c r="F24" s="48">
        <f>ROUND(D24*E24,0)</f>
        <v>735145</v>
      </c>
      <c r="G24" s="49">
        <v>0</v>
      </c>
      <c r="H24" s="48">
        <f>ROUND(D24,0)-G24-F24</f>
        <v>0</v>
      </c>
      <c r="I24" s="50"/>
    </row>
    <row r="25" ht="15" customHeight="1" spans="1:9" x14ac:dyDescent="0.25">
      <c r="A25" s="43">
        <v>6</v>
      </c>
      <c r="B25" s="44" t="str">
        <f>TRIM(CCSI!$A$20)</f>
        <v>Allowance Kunjungan include ops permit</v>
      </c>
      <c r="C25" s="45">
        <f>IF($C$9=0,0,D25/$C$9)</f>
        <v>0.06</v>
      </c>
      <c r="D25" s="46">
        <f>INDEX(CCSI!$20:$20,$K$7+1)</f>
        <v>3265193.76</v>
      </c>
      <c r="E25" s="47">
        <v>1</v>
      </c>
      <c r="F25" s="48">
        <f>ROUND(D25*E25,0)</f>
        <v>3265194</v>
      </c>
      <c r="G25" s="49">
        <v>0</v>
      </c>
      <c r="H25" s="48">
        <f>ROUND(D25,0)-G25-F25</f>
        <v>0</v>
      </c>
      <c r="I25" s="50" t="s">
        <v>143</v>
      </c>
    </row>
    <row r="26" ht="15" customHeight="1" spans="1:9" x14ac:dyDescent="0.25">
      <c r="A26" s="43">
        <v>7</v>
      </c>
      <c r="B26" s="44" t="str">
        <f>TRIM(CCSI!$A$21)</f>
        <v>Marketing cost</v>
      </c>
      <c r="C26" s="45">
        <f>IF($C$9=0,0,D26/$C$9)</f>
        <v>0.015</v>
      </c>
      <c r="D26" s="46">
        <f>INDEX(CCSI!$21:$21,$K$7+1)</f>
        <v>816298.44</v>
      </c>
      <c r="E26" s="47">
        <v>1</v>
      </c>
      <c r="F26" s="48">
        <f>ROUND(D26*E26,0)</f>
        <v>816298</v>
      </c>
      <c r="G26" s="49">
        <v>0</v>
      </c>
      <c r="H26" s="48">
        <f>ROUND(D26,0)-G26-F26</f>
        <v>0</v>
      </c>
      <c r="I26" s="50"/>
    </row>
    <row r="27" ht="15" customHeight="1" spans="1:9" x14ac:dyDescent="0.25">
      <c r="A27" s="51"/>
      <c r="B27" s="52" t="s">
        <v>144</v>
      </c>
      <c r="C27" s="55">
        <f>SUM(C20:C26)</f>
        <v>0.268999899365118</v>
      </c>
      <c r="D27" s="54">
        <f>SUM(D20:D26)</f>
        <v>14638946.5474602</v>
      </c>
      <c r="E27" s="51"/>
      <c r="F27" s="54">
        <f>SUM(F20:F26)</f>
        <v>14638946</v>
      </c>
      <c r="G27" s="54">
        <f>SUM(G20:G26)</f>
        <v>0</v>
      </c>
      <c r="H27" s="54">
        <f>SUM(H20:H26)</f>
        <v>0</v>
      </c>
      <c r="I27" s="51"/>
    </row>
    <row r="28" ht="15" customHeight="1" spans="1:9" x14ac:dyDescent="0.25">
      <c r="A28" s="56"/>
      <c r="B28" s="40" t="s">
        <v>145</v>
      </c>
      <c r="C28" s="57">
        <f>C18+C27</f>
        <v>0.869403404606</v>
      </c>
      <c r="D28" s="58">
        <f>D18+D27</f>
        <v>47312842.8607044</v>
      </c>
      <c r="E28" s="56"/>
      <c r="F28" s="58">
        <f>F18+F27</f>
        <v>47312842</v>
      </c>
      <c r="G28" s="58">
        <f>G18+G27</f>
        <v>0</v>
      </c>
      <c r="H28" s="58">
        <f>H18+H27</f>
        <v>0</v>
      </c>
      <c r="I28" s="56"/>
    </row>
    <row r="30" ht="15" customHeight="1" spans="1:11" x14ac:dyDescent="0.25">
      <c r="A30" s="34" t="s">
        <v>146</v>
      </c>
      <c r="B30" s="34"/>
      <c r="C30" s="34"/>
      <c r="D30" s="34"/>
      <c r="E30" s="34"/>
      <c r="F30" s="34"/>
      <c r="G30" s="34"/>
      <c r="H30" s="34"/>
      <c r="I30" s="34"/>
      <c r="K30">
        <f>ROUND(F28,0)</f>
        <v>47312842</v>
      </c>
    </row>
    <row r="31" ht="15" customHeight="1" spans="1:11" x14ac:dyDescent="0.25">
      <c r="A31" s="59" t="str">
        <f>"Beban bunga dana investor ("&amp;TEXT(Rekap!$C$4,"0%")&amp;" × dana investor)"</f>
        <v>Beban bunga dana investor (10% × dana investor)</v>
      </c>
      <c r="B31" s="59"/>
      <c r="C31" s="59"/>
      <c r="D31" s="46">
        <f>INDEX(CCSI!$11:$11,$K$7+1)</f>
        <v>5275483.24607044</v>
      </c>
      <c r="K31">
        <f>INT(K30/1000000000)</f>
        <v>0</v>
      </c>
    </row>
    <row r="32" ht="15" customHeight="1" spans="1:11" x14ac:dyDescent="0.25">
      <c r="A32" s="59" t="s">
        <v>147</v>
      </c>
      <c r="B32" s="59"/>
      <c r="C32" s="59"/>
      <c r="D32" s="46">
        <f>INDEX(CCSI!$13:$13,$K$7+1)</f>
        <v>5441989.6</v>
      </c>
      <c r="K32">
        <f>INT(MOD(K30,1000000000)/1000000)</f>
        <v>47</v>
      </c>
    </row>
    <row r="33" ht="15" customHeight="1" spans="1:11" x14ac:dyDescent="0.25">
      <c r="A33" s="59" t="s">
        <v>148</v>
      </c>
      <c r="B33" s="59"/>
      <c r="C33" s="59"/>
      <c r="D33" s="46">
        <f>INDEX(CCSI!$23:$23,$K$7+1)</f>
        <v>-3610419.70677487</v>
      </c>
      <c r="K33">
        <f>INT(MOD(K30,1000000)/1000)</f>
        <v>312</v>
      </c>
    </row>
    <row r="34" ht="15" customHeight="1" spans="1:11" x14ac:dyDescent="0.25">
      <c r="A34" s="59" t="s">
        <v>149</v>
      </c>
      <c r="B34" s="59"/>
      <c r="C34" s="59"/>
      <c r="D34" s="60">
        <f>INDEX(CCSI!$23:$23,$K$7)</f>
        <v>-0.0663437450665997</v>
      </c>
      <c r="K34">
        <f>MOD(K30,1000)</f>
        <v>842</v>
      </c>
    </row>
    <row r="35" ht="14.25" customHeight="1" spans="11:11" x14ac:dyDescent="0.25">
      <c r="K35" t="str">
        <f>TRIM(IF(K31&gt;0,VLOOKUP(K31,_terbilang!$A$1:$B$999,2,FALSE())&amp;" milyar ","")&amp;IF(K32&gt;0,VLOOKUP(K32,_terbilang!$A$1:$B$999,2,FALSE())&amp;" juta ","")&amp;IF(K33=1,"seribu ",IF(K33&gt;0,VLOOKUP(K33,_terbilang!$A$1:$B$999,2,FALSE())&amp;" ribu ",""))&amp;IF(K34&gt;0,VLOOKUP(K34,_terbilang!$A$1:$B$999,2,FALSE()),""))&amp;" rupiah"</f>
        <v>empat puluh tujuh juta tiga ratus dua belas ribu delapan ratus empat puluh dua rupiah</v>
      </c>
    </row>
    <row r="36" ht="15" customHeight="1" spans="1:9" x14ac:dyDescent="0.25">
      <c r="A36" s="34" t="s">
        <v>150</v>
      </c>
      <c r="B36" s="34"/>
      <c r="C36" s="61" t="str">
        <f>IF(K30=0,"Nol rupiah",UPPER(LEFT(K35,1))&amp;MID(K35,2,500))</f>
        <v>Empat puluh tujuh juta tiga ratus dua belas ribu delapan ratus empat puluh dua rupiah</v>
      </c>
      <c r="D36" s="61"/>
      <c r="E36" s="61"/>
      <c r="F36" s="61"/>
      <c r="G36" s="61"/>
      <c r="H36" s="61"/>
      <c r="I36" s="61"/>
    </row>
    <row r="37" ht="15" customHeight="1" spans="1:9" x14ac:dyDescent="0.25">
      <c r="A37" s="62" t="s">
        <v>151</v>
      </c>
      <c r="B37" s="62"/>
      <c r="C37" s="63" t="str">
        <f>"Modal kerja pelaksanaan pekerjaan FTTH "&amp;C7&amp;" untuk "&amp;C8&amp;"."</f>
        <v>Modal kerja pelaksanaan pekerjaan FTTH Kalawiran Kakas Barat (Manado) untuk CCSI.</v>
      </c>
      <c r="D37" s="63"/>
      <c r="E37" s="63"/>
      <c r="F37" s="63"/>
      <c r="G37" s="63"/>
      <c r="H37" s="63"/>
      <c r="I37" s="63"/>
    </row>
    <row r="38" ht="15" customHeight="1" spans="1:9" x14ac:dyDescent="0.25">
      <c r="A38" s="62"/>
      <c r="B38" s="62"/>
      <c r="C38" s="63"/>
      <c r="D38" s="63"/>
      <c r="E38" s="63"/>
      <c r="F38" s="63"/>
      <c r="G38" s="63"/>
      <c r="H38" s="63"/>
      <c r="I38" s="63"/>
    </row>
    <row r="39" ht="15" customHeight="1" spans="1:9" x14ac:dyDescent="0.25">
      <c r="A39" s="62"/>
      <c r="B39" s="62"/>
      <c r="C39" s="63"/>
      <c r="D39" s="63"/>
      <c r="E39" s="63"/>
      <c r="F39" s="63"/>
      <c r="G39" s="63"/>
      <c r="H39" s="63"/>
      <c r="I39" s="63"/>
    </row>
    <row r="41" ht="15" customHeight="1" spans="1:9" x14ac:dyDescent="0.25">
      <c r="A41" s="64" t="s">
        <v>152</v>
      </c>
      <c r="B41" s="64"/>
      <c r="C41" s="64"/>
      <c r="D41" s="64"/>
      <c r="E41" s="64"/>
      <c r="F41" s="64"/>
      <c r="G41" s="64"/>
      <c r="H41" s="64"/>
      <c r="I41" s="64"/>
    </row>
    <row r="42" ht="15" customHeight="1" spans="1:5" x14ac:dyDescent="0.25">
      <c r="A42" s="34" t="s">
        <v>153</v>
      </c>
      <c r="B42" s="34"/>
      <c r="C42" s="65" t="s">
        <v>154</v>
      </c>
      <c r="D42" s="65"/>
      <c r="E42" s="65"/>
    </row>
    <row r="43" ht="15" customHeight="1" spans="1:5" x14ac:dyDescent="0.25">
      <c r="A43" s="34" t="s">
        <v>155</v>
      </c>
      <c r="B43" s="34"/>
      <c r="C43" s="65" t="s">
        <v>156</v>
      </c>
      <c r="D43" s="65"/>
      <c r="E43" s="65"/>
    </row>
    <row r="44" ht="15" customHeight="1" spans="1:5" x14ac:dyDescent="0.25">
      <c r="A44" s="34" t="s">
        <v>157</v>
      </c>
      <c r="B44" s="34"/>
      <c r="C44" s="65" t="s">
        <v>158</v>
      </c>
      <c r="D44" s="65"/>
      <c r="E44" s="65"/>
    </row>
    <row r="46" ht="15" customHeight="1" spans="1:9" x14ac:dyDescent="0.25">
      <c r="A46" s="64" t="s">
        <v>159</v>
      </c>
      <c r="B46" s="64"/>
      <c r="C46" s="64"/>
      <c r="D46" s="64"/>
      <c r="E46" s="64"/>
      <c r="F46" s="64"/>
      <c r="G46" s="64"/>
      <c r="H46" s="64"/>
      <c r="I46" s="64"/>
    </row>
    <row r="47" ht="15" customHeight="1" spans="1:9" x14ac:dyDescent="0.25">
      <c r="A47" s="66" t="s">
        <v>160</v>
      </c>
      <c r="B47" s="59" t="s">
        <v>205</v>
      </c>
      <c r="C47" s="59"/>
      <c r="D47" s="59"/>
      <c r="E47" s="66" t="s">
        <v>160</v>
      </c>
      <c r="F47" s="59" t="str">
        <f>"PO / SPK dengan "&amp;C8</f>
        <v>PO / SPK dengan CCSI</v>
      </c>
      <c r="G47" s="59"/>
      <c r="H47" s="59"/>
      <c r="I47" s="59"/>
    </row>
    <row r="48" ht="15" customHeight="1" spans="1:9" x14ac:dyDescent="0.25">
      <c r="A48" s="66" t="s">
        <v>160</v>
      </c>
      <c r="B48" s="59" t="s">
        <v>162</v>
      </c>
      <c r="C48" s="59"/>
      <c r="D48" s="59"/>
      <c r="E48" s="66" t="s">
        <v>160</v>
      </c>
      <c r="F48" s="59" t="s">
        <v>163</v>
      </c>
      <c r="G48" s="59"/>
      <c r="H48" s="59"/>
      <c r="I48" s="59"/>
    </row>
    <row r="49" ht="15" customHeight="1" spans="1:9" x14ac:dyDescent="0.25">
      <c r="A49" s="66" t="s">
        <v>160</v>
      </c>
      <c r="B49" s="59" t="s">
        <v>164</v>
      </c>
      <c r="C49" s="59"/>
      <c r="D49" s="59"/>
      <c r="E49" s="66" t="s">
        <v>165</v>
      </c>
      <c r="F49" s="59" t="s">
        <v>166</v>
      </c>
      <c r="G49" s="59"/>
      <c r="H49" s="59"/>
      <c r="I49" s="59"/>
    </row>
    <row r="51" ht="15" customHeight="1" spans="1:9" x14ac:dyDescent="0.25">
      <c r="A51" s="64" t="s">
        <v>167</v>
      </c>
      <c r="B51" s="64"/>
      <c r="C51" s="64"/>
      <c r="D51" s="64"/>
      <c r="E51" s="64"/>
      <c r="F51" s="64"/>
      <c r="G51" s="64"/>
      <c r="H51" s="64"/>
      <c r="I51" s="64"/>
    </row>
    <row r="52" ht="15" customHeight="1" spans="1:9" x14ac:dyDescent="0.25">
      <c r="A52" s="67" t="s">
        <v>168</v>
      </c>
      <c r="B52" s="67"/>
      <c r="C52" s="67" t="s">
        <v>169</v>
      </c>
      <c r="D52" s="67"/>
      <c r="E52" s="67" t="s">
        <v>170</v>
      </c>
      <c r="F52" s="67"/>
      <c r="G52" s="67"/>
      <c r="H52" s="67" t="s">
        <v>171</v>
      </c>
      <c r="I52" s="67"/>
    </row>
    <row r="53" ht="15" customHeight="1" spans="1:9" x14ac:dyDescent="0.25">
      <c r="A53" s="59"/>
      <c r="B53" s="59"/>
      <c r="C53" s="59"/>
      <c r="D53" s="59"/>
      <c r="E53" s="59"/>
      <c r="F53" s="59"/>
      <c r="G53" s="59"/>
      <c r="H53" s="59"/>
      <c r="I53" s="59"/>
    </row>
    <row r="54" ht="15" customHeight="1" spans="1:9" x14ac:dyDescent="0.25">
      <c r="A54" s="59"/>
      <c r="B54" s="59"/>
      <c r="C54" s="59"/>
      <c r="D54" s="59"/>
      <c r="E54" s="59"/>
      <c r="F54" s="59"/>
      <c r="G54" s="59"/>
      <c r="H54" s="59"/>
      <c r="I54" s="59"/>
    </row>
    <row r="55" ht="15" customHeight="1" spans="1:9" x14ac:dyDescent="0.25">
      <c r="A55" s="59"/>
      <c r="B55" s="59"/>
      <c r="C55" s="59"/>
      <c r="D55" s="59"/>
      <c r="E55" s="59"/>
      <c r="F55" s="59"/>
      <c r="G55" s="59"/>
      <c r="H55" s="59"/>
      <c r="I55" s="59"/>
    </row>
    <row r="56" ht="15" customHeight="1" spans="1:9" x14ac:dyDescent="0.25">
      <c r="A56" s="59"/>
      <c r="B56" s="59"/>
      <c r="C56" s="59"/>
      <c r="D56" s="59"/>
      <c r="E56" s="59"/>
      <c r="F56" s="59"/>
      <c r="G56" s="59"/>
      <c r="H56" s="59"/>
      <c r="I56" s="59"/>
    </row>
    <row r="57" ht="15" customHeight="1" spans="1:9" x14ac:dyDescent="0.25">
      <c r="A57" s="50" t="s">
        <v>172</v>
      </c>
      <c r="B57" s="50"/>
      <c r="C57" s="50" t="s">
        <v>173</v>
      </c>
      <c r="D57" s="50"/>
      <c r="E57" s="50" t="s">
        <v>173</v>
      </c>
      <c r="F57" s="50"/>
      <c r="G57" s="50"/>
      <c r="H57" s="50" t="s">
        <v>173</v>
      </c>
      <c r="I57" s="50"/>
    </row>
    <row r="58" ht="15" customHeight="1" spans="1:9" x14ac:dyDescent="0.25">
      <c r="A58" s="50" t="s">
        <v>174</v>
      </c>
      <c r="B58" s="50"/>
      <c r="C58" s="50" t="s">
        <v>175</v>
      </c>
      <c r="D58" s="50"/>
      <c r="E58" s="50" t="s">
        <v>175</v>
      </c>
      <c r="F58" s="50"/>
      <c r="G58" s="50"/>
      <c r="H58" s="50" t="s">
        <v>175</v>
      </c>
      <c r="I58" s="50"/>
    </row>
    <row r="60" ht="13.5" customHeight="1" spans="1:9" x14ac:dyDescent="0.25">
      <c r="A60" s="68" t="s">
        <v>99</v>
      </c>
      <c r="B60" s="68"/>
      <c r="C60" s="68"/>
      <c r="D60" s="68"/>
      <c r="E60" s="68"/>
      <c r="F60" s="68"/>
      <c r="G60" s="68"/>
      <c r="H60" s="68"/>
      <c r="I60" s="68"/>
    </row>
    <row r="61" ht="13.5" customHeight="1" spans="1:9" x14ac:dyDescent="0.25">
      <c r="A61" s="69" t="s">
        <v>206</v>
      </c>
      <c r="B61" s="69"/>
      <c r="C61" s="69"/>
      <c r="D61" s="69"/>
      <c r="E61" s="69"/>
      <c r="F61" s="69"/>
      <c r="G61" s="69"/>
      <c r="H61" s="69"/>
      <c r="I61" s="69"/>
    </row>
    <row r="62" ht="24" customHeight="1" spans="1:9" x14ac:dyDescent="0.25">
      <c r="A62" s="69" t="s">
        <v>177</v>
      </c>
      <c r="B62" s="69"/>
      <c r="C62" s="69"/>
      <c r="D62" s="69"/>
      <c r="E62" s="69"/>
      <c r="F62" s="69"/>
      <c r="G62" s="69"/>
      <c r="H62" s="69"/>
      <c r="I62" s="69"/>
    </row>
    <row r="63" ht="24" customHeight="1" spans="1:9" x14ac:dyDescent="0.25">
      <c r="A63" s="69" t="s">
        <v>178</v>
      </c>
      <c r="B63" s="69"/>
      <c r="C63" s="69"/>
      <c r="D63" s="69"/>
      <c r="E63" s="69"/>
      <c r="F63" s="69"/>
      <c r="G63" s="69"/>
      <c r="H63" s="69"/>
      <c r="I63" s="69"/>
    </row>
    <row r="64" ht="24" customHeight="1" spans="1:9" x14ac:dyDescent="0.25">
      <c r="A64" s="69" t="s">
        <v>179</v>
      </c>
      <c r="B64" s="69"/>
      <c r="C64" s="69"/>
      <c r="D64" s="69"/>
      <c r="E64" s="69"/>
      <c r="F64" s="69"/>
      <c r="G64" s="69"/>
      <c r="H64" s="69"/>
      <c r="I64" s="69"/>
    </row>
  </sheetData>
  <mergeCells count="68">
    <mergeCell ref="A1:I1"/>
    <mergeCell ref="A2:I2"/>
    <mergeCell ref="A5:B5"/>
    <mergeCell ref="C5:E5"/>
    <mergeCell ref="F5:G5"/>
    <mergeCell ref="H5:I5"/>
    <mergeCell ref="A6:B6"/>
    <mergeCell ref="C6:E6"/>
    <mergeCell ref="F6:G6"/>
    <mergeCell ref="H6:I6"/>
    <mergeCell ref="A7:B7"/>
    <mergeCell ref="C7:E7"/>
    <mergeCell ref="F7:G7"/>
    <mergeCell ref="H7:I7"/>
    <mergeCell ref="A8:B8"/>
    <mergeCell ref="C8:E8"/>
    <mergeCell ref="F8:G8"/>
    <mergeCell ref="H8:I8"/>
    <mergeCell ref="A9:B9"/>
    <mergeCell ref="C9:E9"/>
    <mergeCell ref="F9:G9"/>
    <mergeCell ref="H9:I9"/>
    <mergeCell ref="A11:I11"/>
    <mergeCell ref="A30:I30"/>
    <mergeCell ref="A31:C31"/>
    <mergeCell ref="A32:C32"/>
    <mergeCell ref="A33:C33"/>
    <mergeCell ref="A34:C34"/>
    <mergeCell ref="A36:B36"/>
    <mergeCell ref="C36:I36"/>
    <mergeCell ref="A37:B39"/>
    <mergeCell ref="C37:I39"/>
    <mergeCell ref="A41:I41"/>
    <mergeCell ref="A42:B42"/>
    <mergeCell ref="C42:E42"/>
    <mergeCell ref="A43:B43"/>
    <mergeCell ref="C43:E43"/>
    <mergeCell ref="A44:B44"/>
    <mergeCell ref="C44:E44"/>
    <mergeCell ref="A46:I46"/>
    <mergeCell ref="B47:D47"/>
    <mergeCell ref="F47:I47"/>
    <mergeCell ref="B48:D48"/>
    <mergeCell ref="F48:I48"/>
    <mergeCell ref="B49:D49"/>
    <mergeCell ref="F49:I49"/>
    <mergeCell ref="A51:I51"/>
    <mergeCell ref="A52:B52"/>
    <mergeCell ref="C52:D52"/>
    <mergeCell ref="E52:G52"/>
    <mergeCell ref="H52:I52"/>
    <mergeCell ref="A53:B56"/>
    <mergeCell ref="C53:D56"/>
    <mergeCell ref="E53:G56"/>
    <mergeCell ref="H53:I56"/>
    <mergeCell ref="A57:B57"/>
    <mergeCell ref="C57:D57"/>
    <mergeCell ref="E57:G57"/>
    <mergeCell ref="H57:I57"/>
    <mergeCell ref="A58:B58"/>
    <mergeCell ref="C58:D58"/>
    <mergeCell ref="E58:G58"/>
    <mergeCell ref="H58:I58"/>
    <mergeCell ref="A60:I60"/>
    <mergeCell ref="A61:I61"/>
    <mergeCell ref="A62:I62"/>
    <mergeCell ref="A63:I63"/>
    <mergeCell ref="A64:I64"/>
  </mergeCells>
  <dataValidations count="1">
    <dataValidation type="list" errorStyle="stop" sqref="C7">
      <formula1>_lists!$C$2:$C$5</formula1>
      <formula2>0</formula2>
    </dataValidation>
  </dataValidations>
  <pageMargins left="0.4" right="0.4" top="1" bottom="1" header="0.511811023622047" footer="0.511811023622047"/>
  <pageSetup paperSize="9" orientation="portrait" horizontalDpi="300" verticalDpi="300" scale="100" fitToWidth="1" fitToHeight="0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sheetData>
    <row r="1" ht="15" customHeight="1" spans="1:3" x14ac:dyDescent="0.25">
      <c r="A1" t="s">
        <v>15</v>
      </c>
      <c r="B1" t="s">
        <v>16</v>
      </c>
      <c r="C1" t="s">
        <v>17</v>
      </c>
    </row>
    <row r="2" ht="15" customHeight="1" spans="1:3" x14ac:dyDescent="0.25">
      <c r="A2" t="s">
        <v>20</v>
      </c>
      <c r="B2" t="s">
        <v>181</v>
      </c>
      <c r="C2" t="s">
        <v>195</v>
      </c>
    </row>
    <row r="3" ht="15" customHeight="1" spans="1:3" x14ac:dyDescent="0.25">
      <c r="A3" t="s">
        <v>21</v>
      </c>
      <c r="B3" t="s">
        <v>182</v>
      </c>
      <c r="C3" t="s">
        <v>196</v>
      </c>
    </row>
    <row r="4" ht="15" customHeight="1" spans="1:3" x14ac:dyDescent="0.25">
      <c r="A4" t="s">
        <v>22</v>
      </c>
      <c r="B4" t="s">
        <v>183</v>
      </c>
      <c r="C4" t="s">
        <v>197</v>
      </c>
    </row>
    <row r="5" ht="15" customHeight="1" spans="1:3" x14ac:dyDescent="0.25">
      <c r="A5" t="s">
        <v>23</v>
      </c>
      <c r="B5" t="s">
        <v>184</v>
      </c>
      <c r="C5" t="s">
        <v>198</v>
      </c>
    </row>
    <row r="6" ht="15" customHeight="1" spans="1:1" x14ac:dyDescent="0.25">
      <c r="A6" t="s">
        <v>24</v>
      </c>
    </row>
    <row r="7" ht="15" customHeight="1" spans="1:1" x14ac:dyDescent="0.25">
      <c r="A7" t="s">
        <v>25</v>
      </c>
    </row>
    <row r="8" ht="15" customHeight="1" spans="1:1" x14ac:dyDescent="0.25">
      <c r="A8" t="s">
        <v>26</v>
      </c>
    </row>
    <row r="9" ht="15" customHeight="1" spans="1:1" x14ac:dyDescent="0.25">
      <c r="A9" t="s">
        <v>27</v>
      </c>
    </row>
    <row r="10" ht="15" customHeight="1" spans="1:1" x14ac:dyDescent="0.25">
      <c r="A10" t="s">
        <v>28</v>
      </c>
    </row>
    <row r="11" ht="15" customHeight="1" spans="1:1" x14ac:dyDescent="0.25">
      <c r="A11" t="s">
        <v>29</v>
      </c>
    </row>
    <row r="12" ht="15" customHeight="1" spans="1:1" x14ac:dyDescent="0.25">
      <c r="A12" t="s">
        <v>30</v>
      </c>
    </row>
    <row r="13" ht="15" customHeight="1" spans="1:1" x14ac:dyDescent="0.25">
      <c r="A13" t="s">
        <v>31</v>
      </c>
    </row>
    <row r="14" ht="15" customHeight="1" spans="1:1" x14ac:dyDescent="0.25">
      <c r="A14" t="s">
        <v>32</v>
      </c>
    </row>
    <row r="15" ht="15" customHeight="1" spans="1:1" x14ac:dyDescent="0.25">
      <c r="A15" t="s">
        <v>33</v>
      </c>
    </row>
    <row r="16" ht="15" customHeight="1" spans="1:1" x14ac:dyDescent="0.25">
      <c r="A16" t="s">
        <v>34</v>
      </c>
    </row>
    <row r="17" ht="15" customHeight="1" spans="1:1" x14ac:dyDescent="0.25">
      <c r="A17" t="s">
        <v>35</v>
      </c>
    </row>
    <row r="18" ht="15" customHeight="1" spans="1:1" x14ac:dyDescent="0.25">
      <c r="A18" t="s">
        <v>36</v>
      </c>
    </row>
    <row r="19" ht="15" customHeight="1" spans="1:1" x14ac:dyDescent="0.25">
      <c r="A19" t="s">
        <v>37</v>
      </c>
    </row>
    <row r="20" ht="15" customHeight="1" spans="1:1" x14ac:dyDescent="0.25">
      <c r="A20" t="s">
        <v>38</v>
      </c>
    </row>
    <row r="21" ht="15" customHeight="1" spans="1:1" x14ac:dyDescent="0.25">
      <c r="A21" t="s">
        <v>39</v>
      </c>
    </row>
    <row r="22" ht="15" customHeight="1" spans="1:1" x14ac:dyDescent="0.25">
      <c r="A22" t="s">
        <v>40</v>
      </c>
    </row>
    <row r="23" ht="15" customHeight="1" spans="1:1" x14ac:dyDescent="0.25">
      <c r="A23" t="s">
        <v>41</v>
      </c>
    </row>
    <row r="24" ht="15" customHeight="1" spans="1:1" x14ac:dyDescent="0.25">
      <c r="A24" t="s">
        <v>42</v>
      </c>
    </row>
    <row r="25" ht="15" customHeight="1" spans="1:1" x14ac:dyDescent="0.25">
      <c r="A25" t="s">
        <v>43</v>
      </c>
    </row>
    <row r="26" ht="15" customHeight="1" spans="1:1" x14ac:dyDescent="0.25">
      <c r="A26" t="s">
        <v>44</v>
      </c>
    </row>
    <row r="27" ht="15" customHeight="1" spans="1:1" x14ac:dyDescent="0.25">
      <c r="A27" t="s">
        <v>45</v>
      </c>
    </row>
    <row r="28" ht="15" customHeight="1" spans="1:1" x14ac:dyDescent="0.25">
      <c r="A28" t="s">
        <v>46</v>
      </c>
    </row>
    <row r="29" ht="15" customHeight="1" spans="1:1" x14ac:dyDescent="0.25">
      <c r="A29" t="s">
        <v>47</v>
      </c>
    </row>
    <row r="30" ht="15" customHeight="1" spans="1:1" x14ac:dyDescent="0.25">
      <c r="A30" t="s">
        <v>48</v>
      </c>
    </row>
    <row r="31" ht="15" customHeight="1" spans="1:1" x14ac:dyDescent="0.25">
      <c r="A31" t="s">
        <v>49</v>
      </c>
    </row>
    <row r="32" ht="15" customHeight="1" spans="1:1" x14ac:dyDescent="0.25">
      <c r="A32" t="s">
        <v>50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sheetData>
    <row r="1" ht="15" customHeight="1" spans="1:2" x14ac:dyDescent="0.25">
      <c r="A1">
        <v>1</v>
      </c>
      <c r="B1" t="s">
        <v>207</v>
      </c>
    </row>
    <row r="2" ht="15" customHeight="1" spans="1:2" x14ac:dyDescent="0.25">
      <c r="A2">
        <v>2</v>
      </c>
      <c r="B2" t="s">
        <v>208</v>
      </c>
    </row>
    <row r="3" ht="15" customHeight="1" spans="1:2" x14ac:dyDescent="0.25">
      <c r="A3">
        <v>3</v>
      </c>
      <c r="B3" t="s">
        <v>209</v>
      </c>
    </row>
    <row r="4" ht="15" customHeight="1" spans="1:2" x14ac:dyDescent="0.25">
      <c r="A4">
        <v>4</v>
      </c>
      <c r="B4" t="s">
        <v>210</v>
      </c>
    </row>
    <row r="5" ht="15" customHeight="1" spans="1:2" x14ac:dyDescent="0.25">
      <c r="A5">
        <v>5</v>
      </c>
      <c r="B5" t="s">
        <v>211</v>
      </c>
    </row>
    <row r="6" ht="15" customHeight="1" spans="1:2" x14ac:dyDescent="0.25">
      <c r="A6">
        <v>6</v>
      </c>
      <c r="B6" t="s">
        <v>212</v>
      </c>
    </row>
    <row r="7" ht="15" customHeight="1" spans="1:2" x14ac:dyDescent="0.25">
      <c r="A7">
        <v>7</v>
      </c>
      <c r="B7" t="s">
        <v>213</v>
      </c>
    </row>
    <row r="8" ht="15" customHeight="1" spans="1:2" x14ac:dyDescent="0.25">
      <c r="A8">
        <v>8</v>
      </c>
      <c r="B8" t="s">
        <v>214</v>
      </c>
    </row>
    <row r="9" ht="15" customHeight="1" spans="1:2" x14ac:dyDescent="0.25">
      <c r="A9">
        <v>9</v>
      </c>
      <c r="B9" t="s">
        <v>215</v>
      </c>
    </row>
    <row r="10" ht="15" customHeight="1" spans="1:2" x14ac:dyDescent="0.25">
      <c r="A10">
        <v>10</v>
      </c>
      <c r="B10" t="s">
        <v>216</v>
      </c>
    </row>
    <row r="11" ht="15" customHeight="1" spans="1:2" x14ac:dyDescent="0.25">
      <c r="A11">
        <v>11</v>
      </c>
      <c r="B11" t="s">
        <v>217</v>
      </c>
    </row>
    <row r="12" ht="15" customHeight="1" spans="1:2" x14ac:dyDescent="0.25">
      <c r="A12">
        <v>12</v>
      </c>
      <c r="B12" t="s">
        <v>218</v>
      </c>
    </row>
    <row r="13" ht="15" customHeight="1" spans="1:2" x14ac:dyDescent="0.25">
      <c r="A13">
        <v>13</v>
      </c>
      <c r="B13" t="s">
        <v>219</v>
      </c>
    </row>
    <row r="14" ht="15" customHeight="1" spans="1:2" x14ac:dyDescent="0.25">
      <c r="A14">
        <v>14</v>
      </c>
      <c r="B14" t="s">
        <v>220</v>
      </c>
    </row>
    <row r="15" ht="15" customHeight="1" spans="1:2" x14ac:dyDescent="0.25">
      <c r="A15">
        <v>15</v>
      </c>
      <c r="B15" t="s">
        <v>221</v>
      </c>
    </row>
    <row r="16" ht="15" customHeight="1" spans="1:2" x14ac:dyDescent="0.25">
      <c r="A16">
        <v>16</v>
      </c>
      <c r="B16" t="s">
        <v>222</v>
      </c>
    </row>
    <row r="17" ht="15" customHeight="1" spans="1:2" x14ac:dyDescent="0.25">
      <c r="A17">
        <v>17</v>
      </c>
      <c r="B17" t="s">
        <v>223</v>
      </c>
    </row>
    <row r="18" ht="15" customHeight="1" spans="1:2" x14ac:dyDescent="0.25">
      <c r="A18">
        <v>18</v>
      </c>
      <c r="B18" t="s">
        <v>224</v>
      </c>
    </row>
    <row r="19" ht="15" customHeight="1" spans="1:2" x14ac:dyDescent="0.25">
      <c r="A19">
        <v>19</v>
      </c>
      <c r="B19" t="s">
        <v>225</v>
      </c>
    </row>
    <row r="20" ht="15" customHeight="1" spans="1:2" x14ac:dyDescent="0.25">
      <c r="A20">
        <v>20</v>
      </c>
      <c r="B20" t="s">
        <v>226</v>
      </c>
    </row>
    <row r="21" ht="15" customHeight="1" spans="1:2" x14ac:dyDescent="0.25">
      <c r="A21">
        <v>21</v>
      </c>
      <c r="B21" t="s">
        <v>227</v>
      </c>
    </row>
    <row r="22" ht="15" customHeight="1" spans="1:2" x14ac:dyDescent="0.25">
      <c r="A22">
        <v>22</v>
      </c>
      <c r="B22" t="s">
        <v>228</v>
      </c>
    </row>
    <row r="23" ht="15" customHeight="1" spans="1:2" x14ac:dyDescent="0.25">
      <c r="A23">
        <v>23</v>
      </c>
      <c r="B23" t="s">
        <v>229</v>
      </c>
    </row>
    <row r="24" ht="15" customHeight="1" spans="1:2" x14ac:dyDescent="0.25">
      <c r="A24">
        <v>24</v>
      </c>
      <c r="B24" t="s">
        <v>230</v>
      </c>
    </row>
    <row r="25" ht="15" customHeight="1" spans="1:2" x14ac:dyDescent="0.25">
      <c r="A25">
        <v>25</v>
      </c>
      <c r="B25" t="s">
        <v>231</v>
      </c>
    </row>
    <row r="26" ht="15" customHeight="1" spans="1:2" x14ac:dyDescent="0.25">
      <c r="A26">
        <v>26</v>
      </c>
      <c r="B26" t="s">
        <v>232</v>
      </c>
    </row>
    <row r="27" ht="15" customHeight="1" spans="1:2" x14ac:dyDescent="0.25">
      <c r="A27">
        <v>27</v>
      </c>
      <c r="B27" t="s">
        <v>233</v>
      </c>
    </row>
    <row r="28" ht="15" customHeight="1" spans="1:2" x14ac:dyDescent="0.25">
      <c r="A28">
        <v>28</v>
      </c>
      <c r="B28" t="s">
        <v>234</v>
      </c>
    </row>
    <row r="29" ht="15" customHeight="1" spans="1:2" x14ac:dyDescent="0.25">
      <c r="A29">
        <v>29</v>
      </c>
      <c r="B29" t="s">
        <v>235</v>
      </c>
    </row>
    <row r="30" ht="15" customHeight="1" spans="1:2" x14ac:dyDescent="0.25">
      <c r="A30">
        <v>30</v>
      </c>
      <c r="B30" t="s">
        <v>236</v>
      </c>
    </row>
    <row r="31" ht="15" customHeight="1" spans="1:2" x14ac:dyDescent="0.25">
      <c r="A31">
        <v>31</v>
      </c>
      <c r="B31" t="s">
        <v>237</v>
      </c>
    </row>
    <row r="32" ht="15" customHeight="1" spans="1:2" x14ac:dyDescent="0.25">
      <c r="A32">
        <v>32</v>
      </c>
      <c r="B32" t="s">
        <v>238</v>
      </c>
    </row>
    <row r="33" ht="15" customHeight="1" spans="1:2" x14ac:dyDescent="0.25">
      <c r="A33">
        <v>33</v>
      </c>
      <c r="B33" t="s">
        <v>239</v>
      </c>
    </row>
    <row r="34" ht="15" customHeight="1" spans="1:2" x14ac:dyDescent="0.25">
      <c r="A34">
        <v>34</v>
      </c>
      <c r="B34" t="s">
        <v>240</v>
      </c>
    </row>
    <row r="35" ht="15" customHeight="1" spans="1:2" x14ac:dyDescent="0.25">
      <c r="A35">
        <v>35</v>
      </c>
      <c r="B35" t="s">
        <v>241</v>
      </c>
    </row>
    <row r="36" ht="15" customHeight="1" spans="1:2" x14ac:dyDescent="0.25">
      <c r="A36">
        <v>36</v>
      </c>
      <c r="B36" t="s">
        <v>242</v>
      </c>
    </row>
    <row r="37" ht="15" customHeight="1" spans="1:2" x14ac:dyDescent="0.25">
      <c r="A37">
        <v>37</v>
      </c>
      <c r="B37" t="s">
        <v>243</v>
      </c>
    </row>
    <row r="38" ht="15" customHeight="1" spans="1:2" x14ac:dyDescent="0.25">
      <c r="A38">
        <v>38</v>
      </c>
      <c r="B38" t="s">
        <v>244</v>
      </c>
    </row>
    <row r="39" ht="15" customHeight="1" spans="1:2" x14ac:dyDescent="0.25">
      <c r="A39">
        <v>39</v>
      </c>
      <c r="B39" t="s">
        <v>245</v>
      </c>
    </row>
    <row r="40" ht="15" customHeight="1" spans="1:2" x14ac:dyDescent="0.25">
      <c r="A40">
        <v>40</v>
      </c>
      <c r="B40" t="s">
        <v>246</v>
      </c>
    </row>
    <row r="41" ht="15" customHeight="1" spans="1:2" x14ac:dyDescent="0.25">
      <c r="A41">
        <v>41</v>
      </c>
      <c r="B41" t="s">
        <v>247</v>
      </c>
    </row>
    <row r="42" ht="15" customHeight="1" spans="1:2" x14ac:dyDescent="0.25">
      <c r="A42">
        <v>42</v>
      </c>
      <c r="B42" t="s">
        <v>248</v>
      </c>
    </row>
    <row r="43" ht="15" customHeight="1" spans="1:2" x14ac:dyDescent="0.25">
      <c r="A43">
        <v>43</v>
      </c>
      <c r="B43" t="s">
        <v>249</v>
      </c>
    </row>
    <row r="44" ht="15" customHeight="1" spans="1:2" x14ac:dyDescent="0.25">
      <c r="A44">
        <v>44</v>
      </c>
      <c r="B44" t="s">
        <v>250</v>
      </c>
    </row>
    <row r="45" ht="15" customHeight="1" spans="1:2" x14ac:dyDescent="0.25">
      <c r="A45">
        <v>45</v>
      </c>
      <c r="B45" t="s">
        <v>251</v>
      </c>
    </row>
    <row r="46" ht="15" customHeight="1" spans="1:2" x14ac:dyDescent="0.25">
      <c r="A46">
        <v>46</v>
      </c>
      <c r="B46" t="s">
        <v>252</v>
      </c>
    </row>
    <row r="47" ht="15" customHeight="1" spans="1:2" x14ac:dyDescent="0.25">
      <c r="A47">
        <v>47</v>
      </c>
      <c r="B47" t="s">
        <v>253</v>
      </c>
    </row>
    <row r="48" ht="15" customHeight="1" spans="1:2" x14ac:dyDescent="0.25">
      <c r="A48">
        <v>48</v>
      </c>
      <c r="B48" t="s">
        <v>254</v>
      </c>
    </row>
    <row r="49" ht="15" customHeight="1" spans="1:2" x14ac:dyDescent="0.25">
      <c r="A49">
        <v>49</v>
      </c>
      <c r="B49" t="s">
        <v>255</v>
      </c>
    </row>
    <row r="50" ht="15" customHeight="1" spans="1:2" x14ac:dyDescent="0.25">
      <c r="A50">
        <v>50</v>
      </c>
      <c r="B50" t="s">
        <v>256</v>
      </c>
    </row>
    <row r="51" ht="15" customHeight="1" spans="1:2" x14ac:dyDescent="0.25">
      <c r="A51">
        <v>51</v>
      </c>
      <c r="B51" t="s">
        <v>257</v>
      </c>
    </row>
    <row r="52" ht="15" customHeight="1" spans="1:2" x14ac:dyDescent="0.25">
      <c r="A52">
        <v>52</v>
      </c>
      <c r="B52" t="s">
        <v>258</v>
      </c>
    </row>
    <row r="53" ht="15" customHeight="1" spans="1:2" x14ac:dyDescent="0.25">
      <c r="A53">
        <v>53</v>
      </c>
      <c r="B53" t="s">
        <v>259</v>
      </c>
    </row>
    <row r="54" ht="15" customHeight="1" spans="1:2" x14ac:dyDescent="0.25">
      <c r="A54">
        <v>54</v>
      </c>
      <c r="B54" t="s">
        <v>260</v>
      </c>
    </row>
    <row r="55" ht="15" customHeight="1" spans="1:2" x14ac:dyDescent="0.25">
      <c r="A55">
        <v>55</v>
      </c>
      <c r="B55" t="s">
        <v>261</v>
      </c>
    </row>
    <row r="56" ht="15" customHeight="1" spans="1:2" x14ac:dyDescent="0.25">
      <c r="A56">
        <v>56</v>
      </c>
      <c r="B56" t="s">
        <v>262</v>
      </c>
    </row>
    <row r="57" ht="15" customHeight="1" spans="1:2" x14ac:dyDescent="0.25">
      <c r="A57">
        <v>57</v>
      </c>
      <c r="B57" t="s">
        <v>263</v>
      </c>
    </row>
    <row r="58" ht="15" customHeight="1" spans="1:2" x14ac:dyDescent="0.25">
      <c r="A58">
        <v>58</v>
      </c>
      <c r="B58" t="s">
        <v>264</v>
      </c>
    </row>
    <row r="59" ht="15" customHeight="1" spans="1:2" x14ac:dyDescent="0.25">
      <c r="A59">
        <v>59</v>
      </c>
      <c r="B59" t="s">
        <v>265</v>
      </c>
    </row>
    <row r="60" ht="15" customHeight="1" spans="1:2" x14ac:dyDescent="0.25">
      <c r="A60">
        <v>60</v>
      </c>
      <c r="B60" t="s">
        <v>266</v>
      </c>
    </row>
    <row r="61" ht="15" customHeight="1" spans="1:2" x14ac:dyDescent="0.25">
      <c r="A61">
        <v>61</v>
      </c>
      <c r="B61" t="s">
        <v>267</v>
      </c>
    </row>
    <row r="62" ht="15" customHeight="1" spans="1:2" x14ac:dyDescent="0.25">
      <c r="A62">
        <v>62</v>
      </c>
      <c r="B62" t="s">
        <v>268</v>
      </c>
    </row>
    <row r="63" ht="15" customHeight="1" spans="1:2" x14ac:dyDescent="0.25">
      <c r="A63">
        <v>63</v>
      </c>
      <c r="B63" t="s">
        <v>269</v>
      </c>
    </row>
    <row r="64" ht="15" customHeight="1" spans="1:2" x14ac:dyDescent="0.25">
      <c r="A64">
        <v>64</v>
      </c>
      <c r="B64" t="s">
        <v>270</v>
      </c>
    </row>
    <row r="65" ht="15" customHeight="1" spans="1:2" x14ac:dyDescent="0.25">
      <c r="A65">
        <v>65</v>
      </c>
      <c r="B65" t="s">
        <v>271</v>
      </c>
    </row>
    <row r="66" ht="15" customHeight="1" spans="1:2" x14ac:dyDescent="0.25">
      <c r="A66">
        <v>66</v>
      </c>
      <c r="B66" t="s">
        <v>272</v>
      </c>
    </row>
    <row r="67" ht="15" customHeight="1" spans="1:2" x14ac:dyDescent="0.25">
      <c r="A67">
        <v>67</v>
      </c>
      <c r="B67" t="s">
        <v>273</v>
      </c>
    </row>
    <row r="68" ht="15" customHeight="1" spans="1:2" x14ac:dyDescent="0.25">
      <c r="A68">
        <v>68</v>
      </c>
      <c r="B68" t="s">
        <v>274</v>
      </c>
    </row>
    <row r="69" ht="15" customHeight="1" spans="1:2" x14ac:dyDescent="0.25">
      <c r="A69">
        <v>69</v>
      </c>
      <c r="B69" t="s">
        <v>275</v>
      </c>
    </row>
    <row r="70" ht="15" customHeight="1" spans="1:2" x14ac:dyDescent="0.25">
      <c r="A70">
        <v>70</v>
      </c>
      <c r="B70" t="s">
        <v>276</v>
      </c>
    </row>
    <row r="71" ht="15" customHeight="1" spans="1:2" x14ac:dyDescent="0.25">
      <c r="A71">
        <v>71</v>
      </c>
      <c r="B71" t="s">
        <v>277</v>
      </c>
    </row>
    <row r="72" ht="15" customHeight="1" spans="1:2" x14ac:dyDescent="0.25">
      <c r="A72">
        <v>72</v>
      </c>
      <c r="B72" t="s">
        <v>278</v>
      </c>
    </row>
    <row r="73" ht="15" customHeight="1" spans="1:2" x14ac:dyDescent="0.25">
      <c r="A73">
        <v>73</v>
      </c>
      <c r="B73" t="s">
        <v>279</v>
      </c>
    </row>
    <row r="74" ht="15" customHeight="1" spans="1:2" x14ac:dyDescent="0.25">
      <c r="A74">
        <v>74</v>
      </c>
      <c r="B74" t="s">
        <v>280</v>
      </c>
    </row>
    <row r="75" ht="15" customHeight="1" spans="1:2" x14ac:dyDescent="0.25">
      <c r="A75">
        <v>75</v>
      </c>
      <c r="B75" t="s">
        <v>281</v>
      </c>
    </row>
    <row r="76" ht="15" customHeight="1" spans="1:2" x14ac:dyDescent="0.25">
      <c r="A76">
        <v>76</v>
      </c>
      <c r="B76" t="s">
        <v>282</v>
      </c>
    </row>
    <row r="77" ht="15" customHeight="1" spans="1:2" x14ac:dyDescent="0.25">
      <c r="A77">
        <v>77</v>
      </c>
      <c r="B77" t="s">
        <v>283</v>
      </c>
    </row>
    <row r="78" ht="15" customHeight="1" spans="1:2" x14ac:dyDescent="0.25">
      <c r="A78">
        <v>78</v>
      </c>
      <c r="B78" t="s">
        <v>284</v>
      </c>
    </row>
    <row r="79" ht="15" customHeight="1" spans="1:2" x14ac:dyDescent="0.25">
      <c r="A79">
        <v>79</v>
      </c>
      <c r="B79" t="s">
        <v>285</v>
      </c>
    </row>
    <row r="80" ht="15" customHeight="1" spans="1:2" x14ac:dyDescent="0.25">
      <c r="A80">
        <v>80</v>
      </c>
      <c r="B80" t="s">
        <v>286</v>
      </c>
    </row>
    <row r="81" ht="15" customHeight="1" spans="1:2" x14ac:dyDescent="0.25">
      <c r="A81">
        <v>81</v>
      </c>
      <c r="B81" t="s">
        <v>287</v>
      </c>
    </row>
    <row r="82" ht="15" customHeight="1" spans="1:2" x14ac:dyDescent="0.25">
      <c r="A82">
        <v>82</v>
      </c>
      <c r="B82" t="s">
        <v>288</v>
      </c>
    </row>
    <row r="83" ht="15" customHeight="1" spans="1:2" x14ac:dyDescent="0.25">
      <c r="A83">
        <v>83</v>
      </c>
      <c r="B83" t="s">
        <v>289</v>
      </c>
    </row>
    <row r="84" ht="15" customHeight="1" spans="1:2" x14ac:dyDescent="0.25">
      <c r="A84">
        <v>84</v>
      </c>
      <c r="B84" t="s">
        <v>290</v>
      </c>
    </row>
    <row r="85" ht="15" customHeight="1" spans="1:2" x14ac:dyDescent="0.25">
      <c r="A85">
        <v>85</v>
      </c>
      <c r="B85" t="s">
        <v>291</v>
      </c>
    </row>
    <row r="86" ht="15" customHeight="1" spans="1:2" x14ac:dyDescent="0.25">
      <c r="A86">
        <v>86</v>
      </c>
      <c r="B86" t="s">
        <v>292</v>
      </c>
    </row>
    <row r="87" ht="15" customHeight="1" spans="1:2" x14ac:dyDescent="0.25">
      <c r="A87">
        <v>87</v>
      </c>
      <c r="B87" t="s">
        <v>293</v>
      </c>
    </row>
    <row r="88" ht="15" customHeight="1" spans="1:2" x14ac:dyDescent="0.25">
      <c r="A88">
        <v>88</v>
      </c>
      <c r="B88" t="s">
        <v>294</v>
      </c>
    </row>
    <row r="89" ht="15" customHeight="1" spans="1:2" x14ac:dyDescent="0.25">
      <c r="A89">
        <v>89</v>
      </c>
      <c r="B89" t="s">
        <v>295</v>
      </c>
    </row>
    <row r="90" ht="15" customHeight="1" spans="1:2" x14ac:dyDescent="0.25">
      <c r="A90">
        <v>90</v>
      </c>
      <c r="B90" t="s">
        <v>296</v>
      </c>
    </row>
    <row r="91" ht="15" customHeight="1" spans="1:2" x14ac:dyDescent="0.25">
      <c r="A91">
        <v>91</v>
      </c>
      <c r="B91" t="s">
        <v>297</v>
      </c>
    </row>
    <row r="92" ht="15" customHeight="1" spans="1:2" x14ac:dyDescent="0.25">
      <c r="A92">
        <v>92</v>
      </c>
      <c r="B92" t="s">
        <v>298</v>
      </c>
    </row>
    <row r="93" ht="15" customHeight="1" spans="1:2" x14ac:dyDescent="0.25">
      <c r="A93">
        <v>93</v>
      </c>
      <c r="B93" t="s">
        <v>299</v>
      </c>
    </row>
    <row r="94" ht="15" customHeight="1" spans="1:2" x14ac:dyDescent="0.25">
      <c r="A94">
        <v>94</v>
      </c>
      <c r="B94" t="s">
        <v>300</v>
      </c>
    </row>
    <row r="95" ht="15" customHeight="1" spans="1:2" x14ac:dyDescent="0.25">
      <c r="A95">
        <v>95</v>
      </c>
      <c r="B95" t="s">
        <v>301</v>
      </c>
    </row>
    <row r="96" ht="15" customHeight="1" spans="1:2" x14ac:dyDescent="0.25">
      <c r="A96">
        <v>96</v>
      </c>
      <c r="B96" t="s">
        <v>302</v>
      </c>
    </row>
    <row r="97" ht="15" customHeight="1" spans="1:2" x14ac:dyDescent="0.25">
      <c r="A97">
        <v>97</v>
      </c>
      <c r="B97" t="s">
        <v>303</v>
      </c>
    </row>
    <row r="98" ht="15" customHeight="1" spans="1:2" x14ac:dyDescent="0.25">
      <c r="A98">
        <v>98</v>
      </c>
      <c r="B98" t="s">
        <v>304</v>
      </c>
    </row>
    <row r="99" ht="15" customHeight="1" spans="1:2" x14ac:dyDescent="0.25">
      <c r="A99">
        <v>99</v>
      </c>
      <c r="B99" t="s">
        <v>305</v>
      </c>
    </row>
    <row r="100" ht="15" customHeight="1" spans="1:2" x14ac:dyDescent="0.25">
      <c r="A100">
        <v>100</v>
      </c>
      <c r="B100" t="s">
        <v>306</v>
      </c>
    </row>
    <row r="101" ht="15" customHeight="1" spans="1:2" x14ac:dyDescent="0.25">
      <c r="A101">
        <v>101</v>
      </c>
      <c r="B101" t="s">
        <v>307</v>
      </c>
    </row>
    <row r="102" ht="15" customHeight="1" spans="1:2" x14ac:dyDescent="0.25">
      <c r="A102">
        <v>102</v>
      </c>
      <c r="B102" t="s">
        <v>308</v>
      </c>
    </row>
    <row r="103" ht="15" customHeight="1" spans="1:2" x14ac:dyDescent="0.25">
      <c r="A103">
        <v>103</v>
      </c>
      <c r="B103" t="s">
        <v>309</v>
      </c>
    </row>
    <row r="104" ht="15" customHeight="1" spans="1:2" x14ac:dyDescent="0.25">
      <c r="A104">
        <v>104</v>
      </c>
      <c r="B104" t="s">
        <v>310</v>
      </c>
    </row>
    <row r="105" ht="15" customHeight="1" spans="1:2" x14ac:dyDescent="0.25">
      <c r="A105">
        <v>105</v>
      </c>
      <c r="B105" t="s">
        <v>311</v>
      </c>
    </row>
    <row r="106" ht="15" customHeight="1" spans="1:2" x14ac:dyDescent="0.25">
      <c r="A106">
        <v>106</v>
      </c>
      <c r="B106" t="s">
        <v>312</v>
      </c>
    </row>
    <row r="107" ht="15" customHeight="1" spans="1:2" x14ac:dyDescent="0.25">
      <c r="A107">
        <v>107</v>
      </c>
      <c r="B107" t="s">
        <v>313</v>
      </c>
    </row>
    <row r="108" ht="15" customHeight="1" spans="1:2" x14ac:dyDescent="0.25">
      <c r="A108">
        <v>108</v>
      </c>
      <c r="B108" t="s">
        <v>314</v>
      </c>
    </row>
    <row r="109" ht="15" customHeight="1" spans="1:2" x14ac:dyDescent="0.25">
      <c r="A109">
        <v>109</v>
      </c>
      <c r="B109" t="s">
        <v>315</v>
      </c>
    </row>
    <row r="110" ht="15" customHeight="1" spans="1:2" x14ac:dyDescent="0.25">
      <c r="A110">
        <v>110</v>
      </c>
      <c r="B110" t="s">
        <v>316</v>
      </c>
    </row>
    <row r="111" ht="15" customHeight="1" spans="1:2" x14ac:dyDescent="0.25">
      <c r="A111">
        <v>111</v>
      </c>
      <c r="B111" t="s">
        <v>317</v>
      </c>
    </row>
    <row r="112" ht="15" customHeight="1" spans="1:2" x14ac:dyDescent="0.25">
      <c r="A112">
        <v>112</v>
      </c>
      <c r="B112" t="s">
        <v>318</v>
      </c>
    </row>
    <row r="113" ht="15" customHeight="1" spans="1:2" x14ac:dyDescent="0.25">
      <c r="A113">
        <v>113</v>
      </c>
      <c r="B113" t="s">
        <v>319</v>
      </c>
    </row>
    <row r="114" ht="15" customHeight="1" spans="1:2" x14ac:dyDescent="0.25">
      <c r="A114">
        <v>114</v>
      </c>
      <c r="B114" t="s">
        <v>320</v>
      </c>
    </row>
    <row r="115" ht="15" customHeight="1" spans="1:2" x14ac:dyDescent="0.25">
      <c r="A115">
        <v>115</v>
      </c>
      <c r="B115" t="s">
        <v>321</v>
      </c>
    </row>
    <row r="116" ht="15" customHeight="1" spans="1:2" x14ac:dyDescent="0.25">
      <c r="A116">
        <v>116</v>
      </c>
      <c r="B116" t="s">
        <v>322</v>
      </c>
    </row>
    <row r="117" ht="15" customHeight="1" spans="1:2" x14ac:dyDescent="0.25">
      <c r="A117">
        <v>117</v>
      </c>
      <c r="B117" t="s">
        <v>323</v>
      </c>
    </row>
    <row r="118" ht="15" customHeight="1" spans="1:2" x14ac:dyDescent="0.25">
      <c r="A118">
        <v>118</v>
      </c>
      <c r="B118" t="s">
        <v>324</v>
      </c>
    </row>
    <row r="119" ht="15" customHeight="1" spans="1:2" x14ac:dyDescent="0.25">
      <c r="A119">
        <v>119</v>
      </c>
      <c r="B119" t="s">
        <v>325</v>
      </c>
    </row>
    <row r="120" ht="15" customHeight="1" spans="1:2" x14ac:dyDescent="0.25">
      <c r="A120">
        <v>120</v>
      </c>
      <c r="B120" t="s">
        <v>326</v>
      </c>
    </row>
    <row r="121" ht="15" customHeight="1" spans="1:2" x14ac:dyDescent="0.25">
      <c r="A121">
        <v>121</v>
      </c>
      <c r="B121" t="s">
        <v>327</v>
      </c>
    </row>
    <row r="122" ht="15" customHeight="1" spans="1:2" x14ac:dyDescent="0.25">
      <c r="A122">
        <v>122</v>
      </c>
      <c r="B122" t="s">
        <v>328</v>
      </c>
    </row>
    <row r="123" ht="15" customHeight="1" spans="1:2" x14ac:dyDescent="0.25">
      <c r="A123">
        <v>123</v>
      </c>
      <c r="B123" t="s">
        <v>329</v>
      </c>
    </row>
    <row r="124" ht="15" customHeight="1" spans="1:2" x14ac:dyDescent="0.25">
      <c r="A124">
        <v>124</v>
      </c>
      <c r="B124" t="s">
        <v>330</v>
      </c>
    </row>
    <row r="125" ht="15" customHeight="1" spans="1:2" x14ac:dyDescent="0.25">
      <c r="A125">
        <v>125</v>
      </c>
      <c r="B125" t="s">
        <v>331</v>
      </c>
    </row>
    <row r="126" ht="15" customHeight="1" spans="1:2" x14ac:dyDescent="0.25">
      <c r="A126">
        <v>126</v>
      </c>
      <c r="B126" t="s">
        <v>332</v>
      </c>
    </row>
    <row r="127" ht="15" customHeight="1" spans="1:2" x14ac:dyDescent="0.25">
      <c r="A127">
        <v>127</v>
      </c>
      <c r="B127" t="s">
        <v>333</v>
      </c>
    </row>
    <row r="128" ht="15" customHeight="1" spans="1:2" x14ac:dyDescent="0.25">
      <c r="A128">
        <v>128</v>
      </c>
      <c r="B128" t="s">
        <v>334</v>
      </c>
    </row>
    <row r="129" ht="15" customHeight="1" spans="1:2" x14ac:dyDescent="0.25">
      <c r="A129">
        <v>129</v>
      </c>
      <c r="B129" t="s">
        <v>335</v>
      </c>
    </row>
    <row r="130" ht="15" customHeight="1" spans="1:2" x14ac:dyDescent="0.25">
      <c r="A130">
        <v>130</v>
      </c>
      <c r="B130" t="s">
        <v>336</v>
      </c>
    </row>
    <row r="131" ht="15" customHeight="1" spans="1:2" x14ac:dyDescent="0.25">
      <c r="A131">
        <v>131</v>
      </c>
      <c r="B131" t="s">
        <v>337</v>
      </c>
    </row>
    <row r="132" ht="15" customHeight="1" spans="1:2" x14ac:dyDescent="0.25">
      <c r="A132">
        <v>132</v>
      </c>
      <c r="B132" t="s">
        <v>338</v>
      </c>
    </row>
    <row r="133" ht="15" customHeight="1" spans="1:2" x14ac:dyDescent="0.25">
      <c r="A133">
        <v>133</v>
      </c>
      <c r="B133" t="s">
        <v>339</v>
      </c>
    </row>
    <row r="134" ht="15" customHeight="1" spans="1:2" x14ac:dyDescent="0.25">
      <c r="A134">
        <v>134</v>
      </c>
      <c r="B134" t="s">
        <v>340</v>
      </c>
    </row>
    <row r="135" ht="15" customHeight="1" spans="1:2" x14ac:dyDescent="0.25">
      <c r="A135">
        <v>135</v>
      </c>
      <c r="B135" t="s">
        <v>341</v>
      </c>
    </row>
    <row r="136" ht="15" customHeight="1" spans="1:2" x14ac:dyDescent="0.25">
      <c r="A136">
        <v>136</v>
      </c>
      <c r="B136" t="s">
        <v>342</v>
      </c>
    </row>
    <row r="137" ht="15" customHeight="1" spans="1:2" x14ac:dyDescent="0.25">
      <c r="A137">
        <v>137</v>
      </c>
      <c r="B137" t="s">
        <v>343</v>
      </c>
    </row>
    <row r="138" ht="15" customHeight="1" spans="1:2" x14ac:dyDescent="0.25">
      <c r="A138">
        <v>138</v>
      </c>
      <c r="B138" t="s">
        <v>344</v>
      </c>
    </row>
    <row r="139" ht="15" customHeight="1" spans="1:2" x14ac:dyDescent="0.25">
      <c r="A139">
        <v>139</v>
      </c>
      <c r="B139" t="s">
        <v>345</v>
      </c>
    </row>
    <row r="140" ht="15" customHeight="1" spans="1:2" x14ac:dyDescent="0.25">
      <c r="A140">
        <v>140</v>
      </c>
      <c r="B140" t="s">
        <v>346</v>
      </c>
    </row>
    <row r="141" ht="15" customHeight="1" spans="1:2" x14ac:dyDescent="0.25">
      <c r="A141">
        <v>141</v>
      </c>
      <c r="B141" t="s">
        <v>347</v>
      </c>
    </row>
    <row r="142" ht="15" customHeight="1" spans="1:2" x14ac:dyDescent="0.25">
      <c r="A142">
        <v>142</v>
      </c>
      <c r="B142" t="s">
        <v>348</v>
      </c>
    </row>
    <row r="143" ht="15" customHeight="1" spans="1:2" x14ac:dyDescent="0.25">
      <c r="A143">
        <v>143</v>
      </c>
      <c r="B143" t="s">
        <v>349</v>
      </c>
    </row>
    <row r="144" ht="15" customHeight="1" spans="1:2" x14ac:dyDescent="0.25">
      <c r="A144">
        <v>144</v>
      </c>
      <c r="B144" t="s">
        <v>350</v>
      </c>
    </row>
    <row r="145" ht="15" customHeight="1" spans="1:2" x14ac:dyDescent="0.25">
      <c r="A145">
        <v>145</v>
      </c>
      <c r="B145" t="s">
        <v>351</v>
      </c>
    </row>
    <row r="146" ht="15" customHeight="1" spans="1:2" x14ac:dyDescent="0.25">
      <c r="A146">
        <v>146</v>
      </c>
      <c r="B146" t="s">
        <v>352</v>
      </c>
    </row>
    <row r="147" ht="15" customHeight="1" spans="1:2" x14ac:dyDescent="0.25">
      <c r="A147">
        <v>147</v>
      </c>
      <c r="B147" t="s">
        <v>353</v>
      </c>
    </row>
    <row r="148" ht="15" customHeight="1" spans="1:2" x14ac:dyDescent="0.25">
      <c r="A148">
        <v>148</v>
      </c>
      <c r="B148" t="s">
        <v>354</v>
      </c>
    </row>
    <row r="149" ht="15" customHeight="1" spans="1:2" x14ac:dyDescent="0.25">
      <c r="A149">
        <v>149</v>
      </c>
      <c r="B149" t="s">
        <v>355</v>
      </c>
    </row>
    <row r="150" ht="15" customHeight="1" spans="1:2" x14ac:dyDescent="0.25">
      <c r="A150">
        <v>150</v>
      </c>
      <c r="B150" t="s">
        <v>356</v>
      </c>
    </row>
    <row r="151" ht="15" customHeight="1" spans="1:2" x14ac:dyDescent="0.25">
      <c r="A151">
        <v>151</v>
      </c>
      <c r="B151" t="s">
        <v>357</v>
      </c>
    </row>
    <row r="152" ht="15" customHeight="1" spans="1:2" x14ac:dyDescent="0.25">
      <c r="A152">
        <v>152</v>
      </c>
      <c r="B152" t="s">
        <v>358</v>
      </c>
    </row>
    <row r="153" ht="15" customHeight="1" spans="1:2" x14ac:dyDescent="0.25">
      <c r="A153">
        <v>153</v>
      </c>
      <c r="B153" t="s">
        <v>359</v>
      </c>
    </row>
    <row r="154" ht="15" customHeight="1" spans="1:2" x14ac:dyDescent="0.25">
      <c r="A154">
        <v>154</v>
      </c>
      <c r="B154" t="s">
        <v>360</v>
      </c>
    </row>
    <row r="155" ht="15" customHeight="1" spans="1:2" x14ac:dyDescent="0.25">
      <c r="A155">
        <v>155</v>
      </c>
      <c r="B155" t="s">
        <v>361</v>
      </c>
    </row>
    <row r="156" ht="15" customHeight="1" spans="1:2" x14ac:dyDescent="0.25">
      <c r="A156">
        <v>156</v>
      </c>
      <c r="B156" t="s">
        <v>362</v>
      </c>
    </row>
    <row r="157" ht="15" customHeight="1" spans="1:2" x14ac:dyDescent="0.25">
      <c r="A157">
        <v>157</v>
      </c>
      <c r="B157" t="s">
        <v>363</v>
      </c>
    </row>
    <row r="158" ht="15" customHeight="1" spans="1:2" x14ac:dyDescent="0.25">
      <c r="A158">
        <v>158</v>
      </c>
      <c r="B158" t="s">
        <v>364</v>
      </c>
    </row>
    <row r="159" ht="15" customHeight="1" spans="1:2" x14ac:dyDescent="0.25">
      <c r="A159">
        <v>159</v>
      </c>
      <c r="B159" t="s">
        <v>365</v>
      </c>
    </row>
    <row r="160" ht="15" customHeight="1" spans="1:2" x14ac:dyDescent="0.25">
      <c r="A160">
        <v>160</v>
      </c>
      <c r="B160" t="s">
        <v>366</v>
      </c>
    </row>
    <row r="161" ht="15" customHeight="1" spans="1:2" x14ac:dyDescent="0.25">
      <c r="A161">
        <v>161</v>
      </c>
      <c r="B161" t="s">
        <v>367</v>
      </c>
    </row>
    <row r="162" ht="15" customHeight="1" spans="1:2" x14ac:dyDescent="0.25">
      <c r="A162">
        <v>162</v>
      </c>
      <c r="B162" t="s">
        <v>368</v>
      </c>
    </row>
    <row r="163" ht="15" customHeight="1" spans="1:2" x14ac:dyDescent="0.25">
      <c r="A163">
        <v>163</v>
      </c>
      <c r="B163" t="s">
        <v>369</v>
      </c>
    </row>
    <row r="164" ht="15" customHeight="1" spans="1:2" x14ac:dyDescent="0.25">
      <c r="A164">
        <v>164</v>
      </c>
      <c r="B164" t="s">
        <v>370</v>
      </c>
    </row>
    <row r="165" ht="15" customHeight="1" spans="1:2" x14ac:dyDescent="0.25">
      <c r="A165">
        <v>165</v>
      </c>
      <c r="B165" t="s">
        <v>371</v>
      </c>
    </row>
    <row r="166" ht="15" customHeight="1" spans="1:2" x14ac:dyDescent="0.25">
      <c r="A166">
        <v>166</v>
      </c>
      <c r="B166" t="s">
        <v>372</v>
      </c>
    </row>
    <row r="167" ht="15" customHeight="1" spans="1:2" x14ac:dyDescent="0.25">
      <c r="A167">
        <v>167</v>
      </c>
      <c r="B167" t="s">
        <v>373</v>
      </c>
    </row>
    <row r="168" ht="15" customHeight="1" spans="1:2" x14ac:dyDescent="0.25">
      <c r="A168">
        <v>168</v>
      </c>
      <c r="B168" t="s">
        <v>374</v>
      </c>
    </row>
    <row r="169" ht="15" customHeight="1" spans="1:2" x14ac:dyDescent="0.25">
      <c r="A169">
        <v>169</v>
      </c>
      <c r="B169" t="s">
        <v>375</v>
      </c>
    </row>
    <row r="170" ht="15" customHeight="1" spans="1:2" x14ac:dyDescent="0.25">
      <c r="A170">
        <v>170</v>
      </c>
      <c r="B170" t="s">
        <v>376</v>
      </c>
    </row>
    <row r="171" ht="15" customHeight="1" spans="1:2" x14ac:dyDescent="0.25">
      <c r="A171">
        <v>171</v>
      </c>
      <c r="B171" t="s">
        <v>377</v>
      </c>
    </row>
    <row r="172" ht="15" customHeight="1" spans="1:2" x14ac:dyDescent="0.25">
      <c r="A172">
        <v>172</v>
      </c>
      <c r="B172" t="s">
        <v>378</v>
      </c>
    </row>
    <row r="173" ht="15" customHeight="1" spans="1:2" x14ac:dyDescent="0.25">
      <c r="A173">
        <v>173</v>
      </c>
      <c r="B173" t="s">
        <v>379</v>
      </c>
    </row>
    <row r="174" ht="15" customHeight="1" spans="1:2" x14ac:dyDescent="0.25">
      <c r="A174">
        <v>174</v>
      </c>
      <c r="B174" t="s">
        <v>380</v>
      </c>
    </row>
    <row r="175" ht="15" customHeight="1" spans="1:2" x14ac:dyDescent="0.25">
      <c r="A175">
        <v>175</v>
      </c>
      <c r="B175" t="s">
        <v>381</v>
      </c>
    </row>
    <row r="176" ht="15" customHeight="1" spans="1:2" x14ac:dyDescent="0.25">
      <c r="A176">
        <v>176</v>
      </c>
      <c r="B176" t="s">
        <v>382</v>
      </c>
    </row>
    <row r="177" ht="15" customHeight="1" spans="1:2" x14ac:dyDescent="0.25">
      <c r="A177">
        <v>177</v>
      </c>
      <c r="B177" t="s">
        <v>383</v>
      </c>
    </row>
    <row r="178" ht="15" customHeight="1" spans="1:2" x14ac:dyDescent="0.25">
      <c r="A178">
        <v>178</v>
      </c>
      <c r="B178" t="s">
        <v>384</v>
      </c>
    </row>
    <row r="179" ht="15" customHeight="1" spans="1:2" x14ac:dyDescent="0.25">
      <c r="A179">
        <v>179</v>
      </c>
      <c r="B179" t="s">
        <v>385</v>
      </c>
    </row>
    <row r="180" ht="15" customHeight="1" spans="1:2" x14ac:dyDescent="0.25">
      <c r="A180">
        <v>180</v>
      </c>
      <c r="B180" t="s">
        <v>386</v>
      </c>
    </row>
    <row r="181" ht="15" customHeight="1" spans="1:2" x14ac:dyDescent="0.25">
      <c r="A181">
        <v>181</v>
      </c>
      <c r="B181" t="s">
        <v>387</v>
      </c>
    </row>
    <row r="182" ht="15" customHeight="1" spans="1:2" x14ac:dyDescent="0.25">
      <c r="A182">
        <v>182</v>
      </c>
      <c r="B182" t="s">
        <v>388</v>
      </c>
    </row>
    <row r="183" ht="15" customHeight="1" spans="1:2" x14ac:dyDescent="0.25">
      <c r="A183">
        <v>183</v>
      </c>
      <c r="B183" t="s">
        <v>389</v>
      </c>
    </row>
    <row r="184" ht="15" customHeight="1" spans="1:2" x14ac:dyDescent="0.25">
      <c r="A184">
        <v>184</v>
      </c>
      <c r="B184" t="s">
        <v>390</v>
      </c>
    </row>
    <row r="185" ht="15" customHeight="1" spans="1:2" x14ac:dyDescent="0.25">
      <c r="A185">
        <v>185</v>
      </c>
      <c r="B185" t="s">
        <v>391</v>
      </c>
    </row>
    <row r="186" ht="15" customHeight="1" spans="1:2" x14ac:dyDescent="0.25">
      <c r="A186">
        <v>186</v>
      </c>
      <c r="B186" t="s">
        <v>392</v>
      </c>
    </row>
    <row r="187" ht="15" customHeight="1" spans="1:2" x14ac:dyDescent="0.25">
      <c r="A187">
        <v>187</v>
      </c>
      <c r="B187" t="s">
        <v>393</v>
      </c>
    </row>
    <row r="188" ht="15" customHeight="1" spans="1:2" x14ac:dyDescent="0.25">
      <c r="A188">
        <v>188</v>
      </c>
      <c r="B188" t="s">
        <v>394</v>
      </c>
    </row>
    <row r="189" ht="15" customHeight="1" spans="1:2" x14ac:dyDescent="0.25">
      <c r="A189">
        <v>189</v>
      </c>
      <c r="B189" t="s">
        <v>395</v>
      </c>
    </row>
    <row r="190" ht="15" customHeight="1" spans="1:2" x14ac:dyDescent="0.25">
      <c r="A190">
        <v>190</v>
      </c>
      <c r="B190" t="s">
        <v>396</v>
      </c>
    </row>
    <row r="191" ht="15" customHeight="1" spans="1:2" x14ac:dyDescent="0.25">
      <c r="A191">
        <v>191</v>
      </c>
      <c r="B191" t="s">
        <v>397</v>
      </c>
    </row>
    <row r="192" ht="15" customHeight="1" spans="1:2" x14ac:dyDescent="0.25">
      <c r="A192">
        <v>192</v>
      </c>
      <c r="B192" t="s">
        <v>398</v>
      </c>
    </row>
    <row r="193" ht="15" customHeight="1" spans="1:2" x14ac:dyDescent="0.25">
      <c r="A193">
        <v>193</v>
      </c>
      <c r="B193" t="s">
        <v>399</v>
      </c>
    </row>
    <row r="194" ht="15" customHeight="1" spans="1:2" x14ac:dyDescent="0.25">
      <c r="A194">
        <v>194</v>
      </c>
      <c r="B194" t="s">
        <v>400</v>
      </c>
    </row>
    <row r="195" ht="15" customHeight="1" spans="1:2" x14ac:dyDescent="0.25">
      <c r="A195">
        <v>195</v>
      </c>
      <c r="B195" t="s">
        <v>401</v>
      </c>
    </row>
    <row r="196" ht="15" customHeight="1" spans="1:2" x14ac:dyDescent="0.25">
      <c r="A196">
        <v>196</v>
      </c>
      <c r="B196" t="s">
        <v>402</v>
      </c>
    </row>
    <row r="197" ht="15" customHeight="1" spans="1:2" x14ac:dyDescent="0.25">
      <c r="A197">
        <v>197</v>
      </c>
      <c r="B197" t="s">
        <v>403</v>
      </c>
    </row>
    <row r="198" ht="15" customHeight="1" spans="1:2" x14ac:dyDescent="0.25">
      <c r="A198">
        <v>198</v>
      </c>
      <c r="B198" t="s">
        <v>404</v>
      </c>
    </row>
    <row r="199" ht="15" customHeight="1" spans="1:2" x14ac:dyDescent="0.25">
      <c r="A199">
        <v>199</v>
      </c>
      <c r="B199" t="s">
        <v>405</v>
      </c>
    </row>
    <row r="200" ht="15" customHeight="1" spans="1:2" x14ac:dyDescent="0.25">
      <c r="A200">
        <v>200</v>
      </c>
      <c r="B200" t="s">
        <v>406</v>
      </c>
    </row>
    <row r="201" ht="15" customHeight="1" spans="1:2" x14ac:dyDescent="0.25">
      <c r="A201">
        <v>201</v>
      </c>
      <c r="B201" t="s">
        <v>407</v>
      </c>
    </row>
    <row r="202" ht="15" customHeight="1" spans="1:2" x14ac:dyDescent="0.25">
      <c r="A202">
        <v>202</v>
      </c>
      <c r="B202" t="s">
        <v>408</v>
      </c>
    </row>
    <row r="203" ht="15" customHeight="1" spans="1:2" x14ac:dyDescent="0.25">
      <c r="A203">
        <v>203</v>
      </c>
      <c r="B203" t="s">
        <v>409</v>
      </c>
    </row>
    <row r="204" ht="15" customHeight="1" spans="1:2" x14ac:dyDescent="0.25">
      <c r="A204">
        <v>204</v>
      </c>
      <c r="B204" t="s">
        <v>410</v>
      </c>
    </row>
    <row r="205" ht="15" customHeight="1" spans="1:2" x14ac:dyDescent="0.25">
      <c r="A205">
        <v>205</v>
      </c>
      <c r="B205" t="s">
        <v>411</v>
      </c>
    </row>
    <row r="206" ht="15" customHeight="1" spans="1:2" x14ac:dyDescent="0.25">
      <c r="A206">
        <v>206</v>
      </c>
      <c r="B206" t="s">
        <v>412</v>
      </c>
    </row>
    <row r="207" ht="15" customHeight="1" spans="1:2" x14ac:dyDescent="0.25">
      <c r="A207">
        <v>207</v>
      </c>
      <c r="B207" t="s">
        <v>413</v>
      </c>
    </row>
    <row r="208" ht="15" customHeight="1" spans="1:2" x14ac:dyDescent="0.25">
      <c r="A208">
        <v>208</v>
      </c>
      <c r="B208" t="s">
        <v>414</v>
      </c>
    </row>
    <row r="209" ht="15" customHeight="1" spans="1:2" x14ac:dyDescent="0.25">
      <c r="A209">
        <v>209</v>
      </c>
      <c r="B209" t="s">
        <v>415</v>
      </c>
    </row>
    <row r="210" ht="15" customHeight="1" spans="1:2" x14ac:dyDescent="0.25">
      <c r="A210">
        <v>210</v>
      </c>
      <c r="B210" t="s">
        <v>416</v>
      </c>
    </row>
    <row r="211" ht="15" customHeight="1" spans="1:2" x14ac:dyDescent="0.25">
      <c r="A211">
        <v>211</v>
      </c>
      <c r="B211" t="s">
        <v>417</v>
      </c>
    </row>
    <row r="212" ht="15" customHeight="1" spans="1:2" x14ac:dyDescent="0.25">
      <c r="A212">
        <v>212</v>
      </c>
      <c r="B212" t="s">
        <v>418</v>
      </c>
    </row>
    <row r="213" ht="15" customHeight="1" spans="1:2" x14ac:dyDescent="0.25">
      <c r="A213">
        <v>213</v>
      </c>
      <c r="B213" t="s">
        <v>419</v>
      </c>
    </row>
    <row r="214" ht="15" customHeight="1" spans="1:2" x14ac:dyDescent="0.25">
      <c r="A214">
        <v>214</v>
      </c>
      <c r="B214" t="s">
        <v>420</v>
      </c>
    </row>
    <row r="215" ht="15" customHeight="1" spans="1:2" x14ac:dyDescent="0.25">
      <c r="A215">
        <v>215</v>
      </c>
      <c r="B215" t="s">
        <v>421</v>
      </c>
    </row>
    <row r="216" ht="15" customHeight="1" spans="1:2" x14ac:dyDescent="0.25">
      <c r="A216">
        <v>216</v>
      </c>
      <c r="B216" t="s">
        <v>422</v>
      </c>
    </row>
    <row r="217" ht="15" customHeight="1" spans="1:2" x14ac:dyDescent="0.25">
      <c r="A217">
        <v>217</v>
      </c>
      <c r="B217" t="s">
        <v>423</v>
      </c>
    </row>
    <row r="218" ht="15" customHeight="1" spans="1:2" x14ac:dyDescent="0.25">
      <c r="A218">
        <v>218</v>
      </c>
      <c r="B218" t="s">
        <v>424</v>
      </c>
    </row>
    <row r="219" ht="15" customHeight="1" spans="1:2" x14ac:dyDescent="0.25">
      <c r="A219">
        <v>219</v>
      </c>
      <c r="B219" t="s">
        <v>425</v>
      </c>
    </row>
    <row r="220" ht="15" customHeight="1" spans="1:2" x14ac:dyDescent="0.25">
      <c r="A220">
        <v>220</v>
      </c>
      <c r="B220" t="s">
        <v>426</v>
      </c>
    </row>
    <row r="221" ht="15" customHeight="1" spans="1:2" x14ac:dyDescent="0.25">
      <c r="A221">
        <v>221</v>
      </c>
      <c r="B221" t="s">
        <v>427</v>
      </c>
    </row>
    <row r="222" ht="15" customHeight="1" spans="1:2" x14ac:dyDescent="0.25">
      <c r="A222">
        <v>222</v>
      </c>
      <c r="B222" t="s">
        <v>428</v>
      </c>
    </row>
    <row r="223" ht="15" customHeight="1" spans="1:2" x14ac:dyDescent="0.25">
      <c r="A223">
        <v>223</v>
      </c>
      <c r="B223" t="s">
        <v>429</v>
      </c>
    </row>
    <row r="224" ht="15" customHeight="1" spans="1:2" x14ac:dyDescent="0.25">
      <c r="A224">
        <v>224</v>
      </c>
      <c r="B224" t="s">
        <v>430</v>
      </c>
    </row>
    <row r="225" ht="15" customHeight="1" spans="1:2" x14ac:dyDescent="0.25">
      <c r="A225">
        <v>225</v>
      </c>
      <c r="B225" t="s">
        <v>431</v>
      </c>
    </row>
    <row r="226" ht="15" customHeight="1" spans="1:2" x14ac:dyDescent="0.25">
      <c r="A226">
        <v>226</v>
      </c>
      <c r="B226" t="s">
        <v>432</v>
      </c>
    </row>
    <row r="227" ht="15" customHeight="1" spans="1:2" x14ac:dyDescent="0.25">
      <c r="A227">
        <v>227</v>
      </c>
      <c r="B227" t="s">
        <v>433</v>
      </c>
    </row>
    <row r="228" ht="15" customHeight="1" spans="1:2" x14ac:dyDescent="0.25">
      <c r="A228">
        <v>228</v>
      </c>
      <c r="B228" t="s">
        <v>434</v>
      </c>
    </row>
    <row r="229" ht="15" customHeight="1" spans="1:2" x14ac:dyDescent="0.25">
      <c r="A229">
        <v>229</v>
      </c>
      <c r="B229" t="s">
        <v>435</v>
      </c>
    </row>
    <row r="230" ht="15" customHeight="1" spans="1:2" x14ac:dyDescent="0.25">
      <c r="A230">
        <v>230</v>
      </c>
      <c r="B230" t="s">
        <v>436</v>
      </c>
    </row>
    <row r="231" ht="15" customHeight="1" spans="1:2" x14ac:dyDescent="0.25">
      <c r="A231">
        <v>231</v>
      </c>
      <c r="B231" t="s">
        <v>437</v>
      </c>
    </row>
    <row r="232" ht="15" customHeight="1" spans="1:2" x14ac:dyDescent="0.25">
      <c r="A232">
        <v>232</v>
      </c>
      <c r="B232" t="s">
        <v>438</v>
      </c>
    </row>
    <row r="233" ht="15" customHeight="1" spans="1:2" x14ac:dyDescent="0.25">
      <c r="A233">
        <v>233</v>
      </c>
      <c r="B233" t="s">
        <v>439</v>
      </c>
    </row>
    <row r="234" ht="15" customHeight="1" spans="1:2" x14ac:dyDescent="0.25">
      <c r="A234">
        <v>234</v>
      </c>
      <c r="B234" t="s">
        <v>440</v>
      </c>
    </row>
    <row r="235" ht="15" customHeight="1" spans="1:2" x14ac:dyDescent="0.25">
      <c r="A235">
        <v>235</v>
      </c>
      <c r="B235" t="s">
        <v>441</v>
      </c>
    </row>
    <row r="236" ht="15" customHeight="1" spans="1:2" x14ac:dyDescent="0.25">
      <c r="A236">
        <v>236</v>
      </c>
      <c r="B236" t="s">
        <v>442</v>
      </c>
    </row>
    <row r="237" ht="15" customHeight="1" spans="1:2" x14ac:dyDescent="0.25">
      <c r="A237">
        <v>237</v>
      </c>
      <c r="B237" t="s">
        <v>443</v>
      </c>
    </row>
    <row r="238" ht="15" customHeight="1" spans="1:2" x14ac:dyDescent="0.25">
      <c r="A238">
        <v>238</v>
      </c>
      <c r="B238" t="s">
        <v>444</v>
      </c>
    </row>
    <row r="239" ht="15" customHeight="1" spans="1:2" x14ac:dyDescent="0.25">
      <c r="A239">
        <v>239</v>
      </c>
      <c r="B239" t="s">
        <v>445</v>
      </c>
    </row>
    <row r="240" ht="15" customHeight="1" spans="1:2" x14ac:dyDescent="0.25">
      <c r="A240">
        <v>240</v>
      </c>
      <c r="B240" t="s">
        <v>446</v>
      </c>
    </row>
    <row r="241" ht="15" customHeight="1" spans="1:2" x14ac:dyDescent="0.25">
      <c r="A241">
        <v>241</v>
      </c>
      <c r="B241" t="s">
        <v>447</v>
      </c>
    </row>
    <row r="242" ht="15" customHeight="1" spans="1:2" x14ac:dyDescent="0.25">
      <c r="A242">
        <v>242</v>
      </c>
      <c r="B242" t="s">
        <v>448</v>
      </c>
    </row>
    <row r="243" ht="15" customHeight="1" spans="1:2" x14ac:dyDescent="0.25">
      <c r="A243">
        <v>243</v>
      </c>
      <c r="B243" t="s">
        <v>449</v>
      </c>
    </row>
    <row r="244" ht="15" customHeight="1" spans="1:2" x14ac:dyDescent="0.25">
      <c r="A244">
        <v>244</v>
      </c>
      <c r="B244" t="s">
        <v>450</v>
      </c>
    </row>
    <row r="245" ht="15" customHeight="1" spans="1:2" x14ac:dyDescent="0.25">
      <c r="A245">
        <v>245</v>
      </c>
      <c r="B245" t="s">
        <v>451</v>
      </c>
    </row>
    <row r="246" ht="15" customHeight="1" spans="1:2" x14ac:dyDescent="0.25">
      <c r="A246">
        <v>246</v>
      </c>
      <c r="B246" t="s">
        <v>452</v>
      </c>
    </row>
    <row r="247" ht="15" customHeight="1" spans="1:2" x14ac:dyDescent="0.25">
      <c r="A247">
        <v>247</v>
      </c>
      <c r="B247" t="s">
        <v>453</v>
      </c>
    </row>
    <row r="248" ht="15" customHeight="1" spans="1:2" x14ac:dyDescent="0.25">
      <c r="A248">
        <v>248</v>
      </c>
      <c r="B248" t="s">
        <v>454</v>
      </c>
    </row>
    <row r="249" ht="15" customHeight="1" spans="1:2" x14ac:dyDescent="0.25">
      <c r="A249">
        <v>249</v>
      </c>
      <c r="B249" t="s">
        <v>455</v>
      </c>
    </row>
    <row r="250" ht="15" customHeight="1" spans="1:2" x14ac:dyDescent="0.25">
      <c r="A250">
        <v>250</v>
      </c>
      <c r="B250" t="s">
        <v>456</v>
      </c>
    </row>
    <row r="251" ht="15" customHeight="1" spans="1:2" x14ac:dyDescent="0.25">
      <c r="A251">
        <v>251</v>
      </c>
      <c r="B251" t="s">
        <v>457</v>
      </c>
    </row>
    <row r="252" ht="15" customHeight="1" spans="1:2" x14ac:dyDescent="0.25">
      <c r="A252">
        <v>252</v>
      </c>
      <c r="B252" t="s">
        <v>458</v>
      </c>
    </row>
    <row r="253" ht="15" customHeight="1" spans="1:2" x14ac:dyDescent="0.25">
      <c r="A253">
        <v>253</v>
      </c>
      <c r="B253" t="s">
        <v>459</v>
      </c>
    </row>
    <row r="254" ht="15" customHeight="1" spans="1:2" x14ac:dyDescent="0.25">
      <c r="A254">
        <v>254</v>
      </c>
      <c r="B254" t="s">
        <v>460</v>
      </c>
    </row>
    <row r="255" ht="15" customHeight="1" spans="1:2" x14ac:dyDescent="0.25">
      <c r="A255">
        <v>255</v>
      </c>
      <c r="B255" t="s">
        <v>461</v>
      </c>
    </row>
    <row r="256" ht="15" customHeight="1" spans="1:2" x14ac:dyDescent="0.25">
      <c r="A256">
        <v>256</v>
      </c>
      <c r="B256" t="s">
        <v>462</v>
      </c>
    </row>
    <row r="257" ht="15" customHeight="1" spans="1:2" x14ac:dyDescent="0.25">
      <c r="A257">
        <v>257</v>
      </c>
      <c r="B257" t="s">
        <v>463</v>
      </c>
    </row>
    <row r="258" ht="15" customHeight="1" spans="1:2" x14ac:dyDescent="0.25">
      <c r="A258">
        <v>258</v>
      </c>
      <c r="B258" t="s">
        <v>464</v>
      </c>
    </row>
    <row r="259" ht="15" customHeight="1" spans="1:2" x14ac:dyDescent="0.25">
      <c r="A259">
        <v>259</v>
      </c>
      <c r="B259" t="s">
        <v>465</v>
      </c>
    </row>
    <row r="260" ht="15" customHeight="1" spans="1:2" x14ac:dyDescent="0.25">
      <c r="A260">
        <v>260</v>
      </c>
      <c r="B260" t="s">
        <v>466</v>
      </c>
    </row>
    <row r="261" ht="15" customHeight="1" spans="1:2" x14ac:dyDescent="0.25">
      <c r="A261">
        <v>261</v>
      </c>
      <c r="B261" t="s">
        <v>467</v>
      </c>
    </row>
    <row r="262" ht="15" customHeight="1" spans="1:2" x14ac:dyDescent="0.25">
      <c r="A262">
        <v>262</v>
      </c>
      <c r="B262" t="s">
        <v>468</v>
      </c>
    </row>
    <row r="263" ht="15" customHeight="1" spans="1:2" x14ac:dyDescent="0.25">
      <c r="A263">
        <v>263</v>
      </c>
      <c r="B263" t="s">
        <v>469</v>
      </c>
    </row>
    <row r="264" ht="15" customHeight="1" spans="1:2" x14ac:dyDescent="0.25">
      <c r="A264">
        <v>264</v>
      </c>
      <c r="B264" t="s">
        <v>470</v>
      </c>
    </row>
    <row r="265" ht="15" customHeight="1" spans="1:2" x14ac:dyDescent="0.25">
      <c r="A265">
        <v>265</v>
      </c>
      <c r="B265" t="s">
        <v>471</v>
      </c>
    </row>
    <row r="266" ht="15" customHeight="1" spans="1:2" x14ac:dyDescent="0.25">
      <c r="A266">
        <v>266</v>
      </c>
      <c r="B266" t="s">
        <v>472</v>
      </c>
    </row>
    <row r="267" ht="15" customHeight="1" spans="1:2" x14ac:dyDescent="0.25">
      <c r="A267">
        <v>267</v>
      </c>
      <c r="B267" t="s">
        <v>473</v>
      </c>
    </row>
    <row r="268" ht="15" customHeight="1" spans="1:2" x14ac:dyDescent="0.25">
      <c r="A268">
        <v>268</v>
      </c>
      <c r="B268" t="s">
        <v>474</v>
      </c>
    </row>
    <row r="269" ht="15" customHeight="1" spans="1:2" x14ac:dyDescent="0.25">
      <c r="A269">
        <v>269</v>
      </c>
      <c r="B269" t="s">
        <v>475</v>
      </c>
    </row>
    <row r="270" ht="15" customHeight="1" spans="1:2" x14ac:dyDescent="0.25">
      <c r="A270">
        <v>270</v>
      </c>
      <c r="B270" t="s">
        <v>476</v>
      </c>
    </row>
    <row r="271" ht="15" customHeight="1" spans="1:2" x14ac:dyDescent="0.25">
      <c r="A271">
        <v>271</v>
      </c>
      <c r="B271" t="s">
        <v>477</v>
      </c>
    </row>
    <row r="272" ht="15" customHeight="1" spans="1:2" x14ac:dyDescent="0.25">
      <c r="A272">
        <v>272</v>
      </c>
      <c r="B272" t="s">
        <v>478</v>
      </c>
    </row>
    <row r="273" ht="15" customHeight="1" spans="1:2" x14ac:dyDescent="0.25">
      <c r="A273">
        <v>273</v>
      </c>
      <c r="B273" t="s">
        <v>479</v>
      </c>
    </row>
    <row r="274" ht="15" customHeight="1" spans="1:2" x14ac:dyDescent="0.25">
      <c r="A274">
        <v>274</v>
      </c>
      <c r="B274" t="s">
        <v>480</v>
      </c>
    </row>
    <row r="275" ht="15" customHeight="1" spans="1:2" x14ac:dyDescent="0.25">
      <c r="A275">
        <v>275</v>
      </c>
      <c r="B275" t="s">
        <v>481</v>
      </c>
    </row>
    <row r="276" ht="15" customHeight="1" spans="1:2" x14ac:dyDescent="0.25">
      <c r="A276">
        <v>276</v>
      </c>
      <c r="B276" t="s">
        <v>482</v>
      </c>
    </row>
    <row r="277" ht="15" customHeight="1" spans="1:2" x14ac:dyDescent="0.25">
      <c r="A277">
        <v>277</v>
      </c>
      <c r="B277" t="s">
        <v>483</v>
      </c>
    </row>
    <row r="278" ht="15" customHeight="1" spans="1:2" x14ac:dyDescent="0.25">
      <c r="A278">
        <v>278</v>
      </c>
      <c r="B278" t="s">
        <v>484</v>
      </c>
    </row>
    <row r="279" ht="15" customHeight="1" spans="1:2" x14ac:dyDescent="0.25">
      <c r="A279">
        <v>279</v>
      </c>
      <c r="B279" t="s">
        <v>485</v>
      </c>
    </row>
    <row r="280" ht="15" customHeight="1" spans="1:2" x14ac:dyDescent="0.25">
      <c r="A280">
        <v>280</v>
      </c>
      <c r="B280" t="s">
        <v>486</v>
      </c>
    </row>
    <row r="281" ht="15" customHeight="1" spans="1:2" x14ac:dyDescent="0.25">
      <c r="A281">
        <v>281</v>
      </c>
      <c r="B281" t="s">
        <v>487</v>
      </c>
    </row>
    <row r="282" ht="15" customHeight="1" spans="1:2" x14ac:dyDescent="0.25">
      <c r="A282">
        <v>282</v>
      </c>
      <c r="B282" t="s">
        <v>488</v>
      </c>
    </row>
    <row r="283" ht="15" customHeight="1" spans="1:2" x14ac:dyDescent="0.25">
      <c r="A283">
        <v>283</v>
      </c>
      <c r="B283" t="s">
        <v>489</v>
      </c>
    </row>
    <row r="284" ht="15" customHeight="1" spans="1:2" x14ac:dyDescent="0.25">
      <c r="A284">
        <v>284</v>
      </c>
      <c r="B284" t="s">
        <v>490</v>
      </c>
    </row>
    <row r="285" ht="15" customHeight="1" spans="1:2" x14ac:dyDescent="0.25">
      <c r="A285">
        <v>285</v>
      </c>
      <c r="B285" t="s">
        <v>491</v>
      </c>
    </row>
    <row r="286" ht="15" customHeight="1" spans="1:2" x14ac:dyDescent="0.25">
      <c r="A286">
        <v>286</v>
      </c>
      <c r="B286" t="s">
        <v>492</v>
      </c>
    </row>
    <row r="287" ht="15" customHeight="1" spans="1:2" x14ac:dyDescent="0.25">
      <c r="A287">
        <v>287</v>
      </c>
      <c r="B287" t="s">
        <v>493</v>
      </c>
    </row>
    <row r="288" ht="15" customHeight="1" spans="1:2" x14ac:dyDescent="0.25">
      <c r="A288">
        <v>288</v>
      </c>
      <c r="B288" t="s">
        <v>494</v>
      </c>
    </row>
    <row r="289" ht="15" customHeight="1" spans="1:2" x14ac:dyDescent="0.25">
      <c r="A289">
        <v>289</v>
      </c>
      <c r="B289" t="s">
        <v>495</v>
      </c>
    </row>
    <row r="290" ht="15" customHeight="1" spans="1:2" x14ac:dyDescent="0.25">
      <c r="A290">
        <v>290</v>
      </c>
      <c r="B290" t="s">
        <v>496</v>
      </c>
    </row>
    <row r="291" ht="15" customHeight="1" spans="1:2" x14ac:dyDescent="0.25">
      <c r="A291">
        <v>291</v>
      </c>
      <c r="B291" t="s">
        <v>497</v>
      </c>
    </row>
    <row r="292" ht="15" customHeight="1" spans="1:2" x14ac:dyDescent="0.25">
      <c r="A292">
        <v>292</v>
      </c>
      <c r="B292" t="s">
        <v>498</v>
      </c>
    </row>
    <row r="293" ht="15" customHeight="1" spans="1:2" x14ac:dyDescent="0.25">
      <c r="A293">
        <v>293</v>
      </c>
      <c r="B293" t="s">
        <v>499</v>
      </c>
    </row>
    <row r="294" ht="15" customHeight="1" spans="1:2" x14ac:dyDescent="0.25">
      <c r="A294">
        <v>294</v>
      </c>
      <c r="B294" t="s">
        <v>500</v>
      </c>
    </row>
    <row r="295" ht="15" customHeight="1" spans="1:2" x14ac:dyDescent="0.25">
      <c r="A295">
        <v>295</v>
      </c>
      <c r="B295" t="s">
        <v>501</v>
      </c>
    </row>
    <row r="296" ht="15" customHeight="1" spans="1:2" x14ac:dyDescent="0.25">
      <c r="A296">
        <v>296</v>
      </c>
      <c r="B296" t="s">
        <v>502</v>
      </c>
    </row>
    <row r="297" ht="15" customHeight="1" spans="1:2" x14ac:dyDescent="0.25">
      <c r="A297">
        <v>297</v>
      </c>
      <c r="B297" t="s">
        <v>503</v>
      </c>
    </row>
    <row r="298" ht="15" customHeight="1" spans="1:2" x14ac:dyDescent="0.25">
      <c r="A298">
        <v>298</v>
      </c>
      <c r="B298" t="s">
        <v>504</v>
      </c>
    </row>
    <row r="299" ht="15" customHeight="1" spans="1:2" x14ac:dyDescent="0.25">
      <c r="A299">
        <v>299</v>
      </c>
      <c r="B299" t="s">
        <v>505</v>
      </c>
    </row>
    <row r="300" ht="15" customHeight="1" spans="1:2" x14ac:dyDescent="0.25">
      <c r="A300">
        <v>300</v>
      </c>
      <c r="B300" t="s">
        <v>506</v>
      </c>
    </row>
    <row r="301" ht="15" customHeight="1" spans="1:2" x14ac:dyDescent="0.25">
      <c r="A301">
        <v>301</v>
      </c>
      <c r="B301" t="s">
        <v>507</v>
      </c>
    </row>
    <row r="302" ht="15" customHeight="1" spans="1:2" x14ac:dyDescent="0.25">
      <c r="A302">
        <v>302</v>
      </c>
      <c r="B302" t="s">
        <v>508</v>
      </c>
    </row>
    <row r="303" ht="15" customHeight="1" spans="1:2" x14ac:dyDescent="0.25">
      <c r="A303">
        <v>303</v>
      </c>
      <c r="B303" t="s">
        <v>509</v>
      </c>
    </row>
    <row r="304" ht="15" customHeight="1" spans="1:2" x14ac:dyDescent="0.25">
      <c r="A304">
        <v>304</v>
      </c>
      <c r="B304" t="s">
        <v>510</v>
      </c>
    </row>
    <row r="305" ht="15" customHeight="1" spans="1:2" x14ac:dyDescent="0.25">
      <c r="A305">
        <v>305</v>
      </c>
      <c r="B305" t="s">
        <v>511</v>
      </c>
    </row>
    <row r="306" ht="15" customHeight="1" spans="1:2" x14ac:dyDescent="0.25">
      <c r="A306">
        <v>306</v>
      </c>
      <c r="B306" t="s">
        <v>512</v>
      </c>
    </row>
    <row r="307" ht="15" customHeight="1" spans="1:2" x14ac:dyDescent="0.25">
      <c r="A307">
        <v>307</v>
      </c>
      <c r="B307" t="s">
        <v>513</v>
      </c>
    </row>
    <row r="308" ht="15" customHeight="1" spans="1:2" x14ac:dyDescent="0.25">
      <c r="A308">
        <v>308</v>
      </c>
      <c r="B308" t="s">
        <v>514</v>
      </c>
    </row>
    <row r="309" ht="15" customHeight="1" spans="1:2" x14ac:dyDescent="0.25">
      <c r="A309">
        <v>309</v>
      </c>
      <c r="B309" t="s">
        <v>515</v>
      </c>
    </row>
    <row r="310" ht="15" customHeight="1" spans="1:2" x14ac:dyDescent="0.25">
      <c r="A310">
        <v>310</v>
      </c>
      <c r="B310" t="s">
        <v>516</v>
      </c>
    </row>
    <row r="311" ht="15" customHeight="1" spans="1:2" x14ac:dyDescent="0.25">
      <c r="A311">
        <v>311</v>
      </c>
      <c r="B311" t="s">
        <v>517</v>
      </c>
    </row>
    <row r="312" ht="15" customHeight="1" spans="1:2" x14ac:dyDescent="0.25">
      <c r="A312">
        <v>312</v>
      </c>
      <c r="B312" t="s">
        <v>518</v>
      </c>
    </row>
    <row r="313" ht="15" customHeight="1" spans="1:2" x14ac:dyDescent="0.25">
      <c r="A313">
        <v>313</v>
      </c>
      <c r="B313" t="s">
        <v>519</v>
      </c>
    </row>
    <row r="314" ht="15" customHeight="1" spans="1:2" x14ac:dyDescent="0.25">
      <c r="A314">
        <v>314</v>
      </c>
      <c r="B314" t="s">
        <v>520</v>
      </c>
    </row>
    <row r="315" ht="15" customHeight="1" spans="1:2" x14ac:dyDescent="0.25">
      <c r="A315">
        <v>315</v>
      </c>
      <c r="B315" t="s">
        <v>521</v>
      </c>
    </row>
    <row r="316" ht="15" customHeight="1" spans="1:2" x14ac:dyDescent="0.25">
      <c r="A316">
        <v>316</v>
      </c>
      <c r="B316" t="s">
        <v>522</v>
      </c>
    </row>
    <row r="317" ht="15" customHeight="1" spans="1:2" x14ac:dyDescent="0.25">
      <c r="A317">
        <v>317</v>
      </c>
      <c r="B317" t="s">
        <v>523</v>
      </c>
    </row>
    <row r="318" ht="15" customHeight="1" spans="1:2" x14ac:dyDescent="0.25">
      <c r="A318">
        <v>318</v>
      </c>
      <c r="B318" t="s">
        <v>524</v>
      </c>
    </row>
    <row r="319" ht="15" customHeight="1" spans="1:2" x14ac:dyDescent="0.25">
      <c r="A319">
        <v>319</v>
      </c>
      <c r="B319" t="s">
        <v>525</v>
      </c>
    </row>
    <row r="320" ht="15" customHeight="1" spans="1:2" x14ac:dyDescent="0.25">
      <c r="A320">
        <v>320</v>
      </c>
      <c r="B320" t="s">
        <v>526</v>
      </c>
    </row>
    <row r="321" ht="15" customHeight="1" spans="1:2" x14ac:dyDescent="0.25">
      <c r="A321">
        <v>321</v>
      </c>
      <c r="B321" t="s">
        <v>527</v>
      </c>
    </row>
    <row r="322" ht="15" customHeight="1" spans="1:2" x14ac:dyDescent="0.25">
      <c r="A322">
        <v>322</v>
      </c>
      <c r="B322" t="s">
        <v>528</v>
      </c>
    </row>
    <row r="323" ht="15" customHeight="1" spans="1:2" x14ac:dyDescent="0.25">
      <c r="A323">
        <v>323</v>
      </c>
      <c r="B323" t="s">
        <v>529</v>
      </c>
    </row>
    <row r="324" ht="15" customHeight="1" spans="1:2" x14ac:dyDescent="0.25">
      <c r="A324">
        <v>324</v>
      </c>
      <c r="B324" t="s">
        <v>530</v>
      </c>
    </row>
    <row r="325" ht="15" customHeight="1" spans="1:2" x14ac:dyDescent="0.25">
      <c r="A325">
        <v>325</v>
      </c>
      <c r="B325" t="s">
        <v>531</v>
      </c>
    </row>
    <row r="326" ht="15" customHeight="1" spans="1:2" x14ac:dyDescent="0.25">
      <c r="A326">
        <v>326</v>
      </c>
      <c r="B326" t="s">
        <v>532</v>
      </c>
    </row>
    <row r="327" ht="15" customHeight="1" spans="1:2" x14ac:dyDescent="0.25">
      <c r="A327">
        <v>327</v>
      </c>
      <c r="B327" t="s">
        <v>533</v>
      </c>
    </row>
    <row r="328" ht="15" customHeight="1" spans="1:2" x14ac:dyDescent="0.25">
      <c r="A328">
        <v>328</v>
      </c>
      <c r="B328" t="s">
        <v>534</v>
      </c>
    </row>
    <row r="329" ht="15" customHeight="1" spans="1:2" x14ac:dyDescent="0.25">
      <c r="A329">
        <v>329</v>
      </c>
      <c r="B329" t="s">
        <v>535</v>
      </c>
    </row>
    <row r="330" ht="15" customHeight="1" spans="1:2" x14ac:dyDescent="0.25">
      <c r="A330">
        <v>330</v>
      </c>
      <c r="B330" t="s">
        <v>536</v>
      </c>
    </row>
    <row r="331" ht="15" customHeight="1" spans="1:2" x14ac:dyDescent="0.25">
      <c r="A331">
        <v>331</v>
      </c>
      <c r="B331" t="s">
        <v>537</v>
      </c>
    </row>
    <row r="332" ht="15" customHeight="1" spans="1:2" x14ac:dyDescent="0.25">
      <c r="A332">
        <v>332</v>
      </c>
      <c r="B332" t="s">
        <v>538</v>
      </c>
    </row>
    <row r="333" ht="15" customHeight="1" spans="1:2" x14ac:dyDescent="0.25">
      <c r="A333">
        <v>333</v>
      </c>
      <c r="B333" t="s">
        <v>539</v>
      </c>
    </row>
    <row r="334" ht="15" customHeight="1" spans="1:2" x14ac:dyDescent="0.25">
      <c r="A334">
        <v>334</v>
      </c>
      <c r="B334" t="s">
        <v>540</v>
      </c>
    </row>
    <row r="335" ht="15" customHeight="1" spans="1:2" x14ac:dyDescent="0.25">
      <c r="A335">
        <v>335</v>
      </c>
      <c r="B335" t="s">
        <v>541</v>
      </c>
    </row>
    <row r="336" ht="15" customHeight="1" spans="1:2" x14ac:dyDescent="0.25">
      <c r="A336">
        <v>336</v>
      </c>
      <c r="B336" t="s">
        <v>542</v>
      </c>
    </row>
    <row r="337" ht="15" customHeight="1" spans="1:2" x14ac:dyDescent="0.25">
      <c r="A337">
        <v>337</v>
      </c>
      <c r="B337" t="s">
        <v>543</v>
      </c>
    </row>
    <row r="338" ht="15" customHeight="1" spans="1:2" x14ac:dyDescent="0.25">
      <c r="A338">
        <v>338</v>
      </c>
      <c r="B338" t="s">
        <v>544</v>
      </c>
    </row>
    <row r="339" ht="15" customHeight="1" spans="1:2" x14ac:dyDescent="0.25">
      <c r="A339">
        <v>339</v>
      </c>
      <c r="B339" t="s">
        <v>545</v>
      </c>
    </row>
    <row r="340" ht="15" customHeight="1" spans="1:2" x14ac:dyDescent="0.25">
      <c r="A340">
        <v>340</v>
      </c>
      <c r="B340" t="s">
        <v>546</v>
      </c>
    </row>
    <row r="341" ht="15" customHeight="1" spans="1:2" x14ac:dyDescent="0.25">
      <c r="A341">
        <v>341</v>
      </c>
      <c r="B341" t="s">
        <v>547</v>
      </c>
    </row>
    <row r="342" ht="15" customHeight="1" spans="1:2" x14ac:dyDescent="0.25">
      <c r="A342">
        <v>342</v>
      </c>
      <c r="B342" t="s">
        <v>548</v>
      </c>
    </row>
    <row r="343" ht="15" customHeight="1" spans="1:2" x14ac:dyDescent="0.25">
      <c r="A343">
        <v>343</v>
      </c>
      <c r="B343" t="s">
        <v>549</v>
      </c>
    </row>
    <row r="344" ht="15" customHeight="1" spans="1:2" x14ac:dyDescent="0.25">
      <c r="A344">
        <v>344</v>
      </c>
      <c r="B344" t="s">
        <v>550</v>
      </c>
    </row>
    <row r="345" ht="15" customHeight="1" spans="1:2" x14ac:dyDescent="0.25">
      <c r="A345">
        <v>345</v>
      </c>
      <c r="B345" t="s">
        <v>551</v>
      </c>
    </row>
    <row r="346" ht="15" customHeight="1" spans="1:2" x14ac:dyDescent="0.25">
      <c r="A346">
        <v>346</v>
      </c>
      <c r="B346" t="s">
        <v>552</v>
      </c>
    </row>
    <row r="347" ht="15" customHeight="1" spans="1:2" x14ac:dyDescent="0.25">
      <c r="A347">
        <v>347</v>
      </c>
      <c r="B347" t="s">
        <v>553</v>
      </c>
    </row>
    <row r="348" ht="15" customHeight="1" spans="1:2" x14ac:dyDescent="0.25">
      <c r="A348">
        <v>348</v>
      </c>
      <c r="B348" t="s">
        <v>554</v>
      </c>
    </row>
    <row r="349" ht="15" customHeight="1" spans="1:2" x14ac:dyDescent="0.25">
      <c r="A349">
        <v>349</v>
      </c>
      <c r="B349" t="s">
        <v>555</v>
      </c>
    </row>
    <row r="350" ht="15" customHeight="1" spans="1:2" x14ac:dyDescent="0.25">
      <c r="A350">
        <v>350</v>
      </c>
      <c r="B350" t="s">
        <v>556</v>
      </c>
    </row>
    <row r="351" ht="15" customHeight="1" spans="1:2" x14ac:dyDescent="0.25">
      <c r="A351">
        <v>351</v>
      </c>
      <c r="B351" t="s">
        <v>557</v>
      </c>
    </row>
    <row r="352" ht="15" customHeight="1" spans="1:2" x14ac:dyDescent="0.25">
      <c r="A352">
        <v>352</v>
      </c>
      <c r="B352" t="s">
        <v>558</v>
      </c>
    </row>
    <row r="353" ht="15" customHeight="1" spans="1:2" x14ac:dyDescent="0.25">
      <c r="A353">
        <v>353</v>
      </c>
      <c r="B353" t="s">
        <v>559</v>
      </c>
    </row>
    <row r="354" ht="15" customHeight="1" spans="1:2" x14ac:dyDescent="0.25">
      <c r="A354">
        <v>354</v>
      </c>
      <c r="B354" t="s">
        <v>560</v>
      </c>
    </row>
    <row r="355" ht="15" customHeight="1" spans="1:2" x14ac:dyDescent="0.25">
      <c r="A355">
        <v>355</v>
      </c>
      <c r="B355" t="s">
        <v>561</v>
      </c>
    </row>
    <row r="356" ht="15" customHeight="1" spans="1:2" x14ac:dyDescent="0.25">
      <c r="A356">
        <v>356</v>
      </c>
      <c r="B356" t="s">
        <v>562</v>
      </c>
    </row>
    <row r="357" ht="15" customHeight="1" spans="1:2" x14ac:dyDescent="0.25">
      <c r="A357">
        <v>357</v>
      </c>
      <c r="B357" t="s">
        <v>563</v>
      </c>
    </row>
    <row r="358" ht="15" customHeight="1" spans="1:2" x14ac:dyDescent="0.25">
      <c r="A358">
        <v>358</v>
      </c>
      <c r="B358" t="s">
        <v>564</v>
      </c>
    </row>
    <row r="359" ht="15" customHeight="1" spans="1:2" x14ac:dyDescent="0.25">
      <c r="A359">
        <v>359</v>
      </c>
      <c r="B359" t="s">
        <v>565</v>
      </c>
    </row>
    <row r="360" ht="15" customHeight="1" spans="1:2" x14ac:dyDescent="0.25">
      <c r="A360">
        <v>360</v>
      </c>
      <c r="B360" t="s">
        <v>566</v>
      </c>
    </row>
    <row r="361" ht="15" customHeight="1" spans="1:2" x14ac:dyDescent="0.25">
      <c r="A361">
        <v>361</v>
      </c>
      <c r="B361" t="s">
        <v>567</v>
      </c>
    </row>
    <row r="362" ht="15" customHeight="1" spans="1:2" x14ac:dyDescent="0.25">
      <c r="A362">
        <v>362</v>
      </c>
      <c r="B362" t="s">
        <v>568</v>
      </c>
    </row>
    <row r="363" ht="15" customHeight="1" spans="1:2" x14ac:dyDescent="0.25">
      <c r="A363">
        <v>363</v>
      </c>
      <c r="B363" t="s">
        <v>569</v>
      </c>
    </row>
    <row r="364" ht="15" customHeight="1" spans="1:2" x14ac:dyDescent="0.25">
      <c r="A364">
        <v>364</v>
      </c>
      <c r="B364" t="s">
        <v>570</v>
      </c>
    </row>
    <row r="365" ht="15" customHeight="1" spans="1:2" x14ac:dyDescent="0.25">
      <c r="A365">
        <v>365</v>
      </c>
      <c r="B365" t="s">
        <v>571</v>
      </c>
    </row>
    <row r="366" ht="15" customHeight="1" spans="1:2" x14ac:dyDescent="0.25">
      <c r="A366">
        <v>366</v>
      </c>
      <c r="B366" t="s">
        <v>572</v>
      </c>
    </row>
    <row r="367" ht="15" customHeight="1" spans="1:2" x14ac:dyDescent="0.25">
      <c r="A367">
        <v>367</v>
      </c>
      <c r="B367" t="s">
        <v>573</v>
      </c>
    </row>
    <row r="368" ht="15" customHeight="1" spans="1:2" x14ac:dyDescent="0.25">
      <c r="A368">
        <v>368</v>
      </c>
      <c r="B368" t="s">
        <v>574</v>
      </c>
    </row>
    <row r="369" ht="15" customHeight="1" spans="1:2" x14ac:dyDescent="0.25">
      <c r="A369">
        <v>369</v>
      </c>
      <c r="B369" t="s">
        <v>575</v>
      </c>
    </row>
    <row r="370" ht="15" customHeight="1" spans="1:2" x14ac:dyDescent="0.25">
      <c r="A370">
        <v>370</v>
      </c>
      <c r="B370" t="s">
        <v>576</v>
      </c>
    </row>
    <row r="371" ht="15" customHeight="1" spans="1:2" x14ac:dyDescent="0.25">
      <c r="A371">
        <v>371</v>
      </c>
      <c r="B371" t="s">
        <v>577</v>
      </c>
    </row>
    <row r="372" ht="15" customHeight="1" spans="1:2" x14ac:dyDescent="0.25">
      <c r="A372">
        <v>372</v>
      </c>
      <c r="B372" t="s">
        <v>578</v>
      </c>
    </row>
    <row r="373" ht="15" customHeight="1" spans="1:2" x14ac:dyDescent="0.25">
      <c r="A373">
        <v>373</v>
      </c>
      <c r="B373" t="s">
        <v>579</v>
      </c>
    </row>
    <row r="374" ht="15" customHeight="1" spans="1:2" x14ac:dyDescent="0.25">
      <c r="A374">
        <v>374</v>
      </c>
      <c r="B374" t="s">
        <v>580</v>
      </c>
    </row>
    <row r="375" ht="15" customHeight="1" spans="1:2" x14ac:dyDescent="0.25">
      <c r="A375">
        <v>375</v>
      </c>
      <c r="B375" t="s">
        <v>581</v>
      </c>
    </row>
    <row r="376" ht="15" customHeight="1" spans="1:2" x14ac:dyDescent="0.25">
      <c r="A376">
        <v>376</v>
      </c>
      <c r="B376" t="s">
        <v>582</v>
      </c>
    </row>
    <row r="377" ht="15" customHeight="1" spans="1:2" x14ac:dyDescent="0.25">
      <c r="A377">
        <v>377</v>
      </c>
      <c r="B377" t="s">
        <v>583</v>
      </c>
    </row>
    <row r="378" ht="15" customHeight="1" spans="1:2" x14ac:dyDescent="0.25">
      <c r="A378">
        <v>378</v>
      </c>
      <c r="B378" t="s">
        <v>584</v>
      </c>
    </row>
    <row r="379" ht="15" customHeight="1" spans="1:2" x14ac:dyDescent="0.25">
      <c r="A379">
        <v>379</v>
      </c>
      <c r="B379" t="s">
        <v>585</v>
      </c>
    </row>
    <row r="380" ht="15" customHeight="1" spans="1:2" x14ac:dyDescent="0.25">
      <c r="A380">
        <v>380</v>
      </c>
      <c r="B380" t="s">
        <v>586</v>
      </c>
    </row>
    <row r="381" ht="15" customHeight="1" spans="1:2" x14ac:dyDescent="0.25">
      <c r="A381">
        <v>381</v>
      </c>
      <c r="B381" t="s">
        <v>587</v>
      </c>
    </row>
    <row r="382" ht="15" customHeight="1" spans="1:2" x14ac:dyDescent="0.25">
      <c r="A382">
        <v>382</v>
      </c>
      <c r="B382" t="s">
        <v>588</v>
      </c>
    </row>
    <row r="383" ht="15" customHeight="1" spans="1:2" x14ac:dyDescent="0.25">
      <c r="A383">
        <v>383</v>
      </c>
      <c r="B383" t="s">
        <v>589</v>
      </c>
    </row>
    <row r="384" ht="15" customHeight="1" spans="1:2" x14ac:dyDescent="0.25">
      <c r="A384">
        <v>384</v>
      </c>
      <c r="B384" t="s">
        <v>590</v>
      </c>
    </row>
    <row r="385" ht="15" customHeight="1" spans="1:2" x14ac:dyDescent="0.25">
      <c r="A385">
        <v>385</v>
      </c>
      <c r="B385" t="s">
        <v>591</v>
      </c>
    </row>
    <row r="386" ht="15" customHeight="1" spans="1:2" x14ac:dyDescent="0.25">
      <c r="A386">
        <v>386</v>
      </c>
      <c r="B386" t="s">
        <v>592</v>
      </c>
    </row>
    <row r="387" ht="15" customHeight="1" spans="1:2" x14ac:dyDescent="0.25">
      <c r="A387">
        <v>387</v>
      </c>
      <c r="B387" t="s">
        <v>593</v>
      </c>
    </row>
    <row r="388" ht="15" customHeight="1" spans="1:2" x14ac:dyDescent="0.25">
      <c r="A388">
        <v>388</v>
      </c>
      <c r="B388" t="s">
        <v>594</v>
      </c>
    </row>
    <row r="389" ht="15" customHeight="1" spans="1:2" x14ac:dyDescent="0.25">
      <c r="A389">
        <v>389</v>
      </c>
      <c r="B389" t="s">
        <v>595</v>
      </c>
    </row>
    <row r="390" ht="15" customHeight="1" spans="1:2" x14ac:dyDescent="0.25">
      <c r="A390">
        <v>390</v>
      </c>
      <c r="B390" t="s">
        <v>596</v>
      </c>
    </row>
    <row r="391" ht="15" customHeight="1" spans="1:2" x14ac:dyDescent="0.25">
      <c r="A391">
        <v>391</v>
      </c>
      <c r="B391" t="s">
        <v>597</v>
      </c>
    </row>
    <row r="392" ht="15" customHeight="1" spans="1:2" x14ac:dyDescent="0.25">
      <c r="A392">
        <v>392</v>
      </c>
      <c r="B392" t="s">
        <v>598</v>
      </c>
    </row>
    <row r="393" ht="15" customHeight="1" spans="1:2" x14ac:dyDescent="0.25">
      <c r="A393">
        <v>393</v>
      </c>
      <c r="B393" t="s">
        <v>599</v>
      </c>
    </row>
    <row r="394" ht="15" customHeight="1" spans="1:2" x14ac:dyDescent="0.25">
      <c r="A394">
        <v>394</v>
      </c>
      <c r="B394" t="s">
        <v>600</v>
      </c>
    </row>
    <row r="395" ht="15" customHeight="1" spans="1:2" x14ac:dyDescent="0.25">
      <c r="A395">
        <v>395</v>
      </c>
      <c r="B395" t="s">
        <v>601</v>
      </c>
    </row>
    <row r="396" ht="15" customHeight="1" spans="1:2" x14ac:dyDescent="0.25">
      <c r="A396">
        <v>396</v>
      </c>
      <c r="B396" t="s">
        <v>602</v>
      </c>
    </row>
    <row r="397" ht="15" customHeight="1" spans="1:2" x14ac:dyDescent="0.25">
      <c r="A397">
        <v>397</v>
      </c>
      <c r="B397" t="s">
        <v>603</v>
      </c>
    </row>
    <row r="398" ht="15" customHeight="1" spans="1:2" x14ac:dyDescent="0.25">
      <c r="A398">
        <v>398</v>
      </c>
      <c r="B398" t="s">
        <v>604</v>
      </c>
    </row>
    <row r="399" ht="15" customHeight="1" spans="1:2" x14ac:dyDescent="0.25">
      <c r="A399">
        <v>399</v>
      </c>
      <c r="B399" t="s">
        <v>605</v>
      </c>
    </row>
    <row r="400" ht="15" customHeight="1" spans="1:2" x14ac:dyDescent="0.25">
      <c r="A400">
        <v>400</v>
      </c>
      <c r="B400" t="s">
        <v>606</v>
      </c>
    </row>
    <row r="401" ht="15" customHeight="1" spans="1:2" x14ac:dyDescent="0.25">
      <c r="A401">
        <v>401</v>
      </c>
      <c r="B401" t="s">
        <v>607</v>
      </c>
    </row>
    <row r="402" ht="15" customHeight="1" spans="1:2" x14ac:dyDescent="0.25">
      <c r="A402">
        <v>402</v>
      </c>
      <c r="B402" t="s">
        <v>608</v>
      </c>
    </row>
    <row r="403" ht="15" customHeight="1" spans="1:2" x14ac:dyDescent="0.25">
      <c r="A403">
        <v>403</v>
      </c>
      <c r="B403" t="s">
        <v>609</v>
      </c>
    </row>
    <row r="404" ht="15" customHeight="1" spans="1:2" x14ac:dyDescent="0.25">
      <c r="A404">
        <v>404</v>
      </c>
      <c r="B404" t="s">
        <v>610</v>
      </c>
    </row>
    <row r="405" ht="15" customHeight="1" spans="1:2" x14ac:dyDescent="0.25">
      <c r="A405">
        <v>405</v>
      </c>
      <c r="B405" t="s">
        <v>611</v>
      </c>
    </row>
    <row r="406" ht="15" customHeight="1" spans="1:2" x14ac:dyDescent="0.25">
      <c r="A406">
        <v>406</v>
      </c>
      <c r="B406" t="s">
        <v>612</v>
      </c>
    </row>
    <row r="407" ht="15" customHeight="1" spans="1:2" x14ac:dyDescent="0.25">
      <c r="A407">
        <v>407</v>
      </c>
      <c r="B407" t="s">
        <v>613</v>
      </c>
    </row>
    <row r="408" ht="15" customHeight="1" spans="1:2" x14ac:dyDescent="0.25">
      <c r="A408">
        <v>408</v>
      </c>
      <c r="B408" t="s">
        <v>614</v>
      </c>
    </row>
    <row r="409" ht="15" customHeight="1" spans="1:2" x14ac:dyDescent="0.25">
      <c r="A409">
        <v>409</v>
      </c>
      <c r="B409" t="s">
        <v>615</v>
      </c>
    </row>
    <row r="410" ht="15" customHeight="1" spans="1:2" x14ac:dyDescent="0.25">
      <c r="A410">
        <v>410</v>
      </c>
      <c r="B410" t="s">
        <v>616</v>
      </c>
    </row>
    <row r="411" ht="15" customHeight="1" spans="1:2" x14ac:dyDescent="0.25">
      <c r="A411">
        <v>411</v>
      </c>
      <c r="B411" t="s">
        <v>617</v>
      </c>
    </row>
    <row r="412" ht="15" customHeight="1" spans="1:2" x14ac:dyDescent="0.25">
      <c r="A412">
        <v>412</v>
      </c>
      <c r="B412" t="s">
        <v>618</v>
      </c>
    </row>
    <row r="413" ht="15" customHeight="1" spans="1:2" x14ac:dyDescent="0.25">
      <c r="A413">
        <v>413</v>
      </c>
      <c r="B413" t="s">
        <v>619</v>
      </c>
    </row>
    <row r="414" ht="15" customHeight="1" spans="1:2" x14ac:dyDescent="0.25">
      <c r="A414">
        <v>414</v>
      </c>
      <c r="B414" t="s">
        <v>620</v>
      </c>
    </row>
    <row r="415" ht="15" customHeight="1" spans="1:2" x14ac:dyDescent="0.25">
      <c r="A415">
        <v>415</v>
      </c>
      <c r="B415" t="s">
        <v>621</v>
      </c>
    </row>
    <row r="416" ht="15" customHeight="1" spans="1:2" x14ac:dyDescent="0.25">
      <c r="A416">
        <v>416</v>
      </c>
      <c r="B416" t="s">
        <v>622</v>
      </c>
    </row>
    <row r="417" ht="15" customHeight="1" spans="1:2" x14ac:dyDescent="0.25">
      <c r="A417">
        <v>417</v>
      </c>
      <c r="B417" t="s">
        <v>623</v>
      </c>
    </row>
    <row r="418" ht="15" customHeight="1" spans="1:2" x14ac:dyDescent="0.25">
      <c r="A418">
        <v>418</v>
      </c>
      <c r="B418" t="s">
        <v>624</v>
      </c>
    </row>
    <row r="419" ht="15" customHeight="1" spans="1:2" x14ac:dyDescent="0.25">
      <c r="A419">
        <v>419</v>
      </c>
      <c r="B419" t="s">
        <v>625</v>
      </c>
    </row>
    <row r="420" ht="15" customHeight="1" spans="1:2" x14ac:dyDescent="0.25">
      <c r="A420">
        <v>420</v>
      </c>
      <c r="B420" t="s">
        <v>626</v>
      </c>
    </row>
    <row r="421" ht="15" customHeight="1" spans="1:2" x14ac:dyDescent="0.25">
      <c r="A421">
        <v>421</v>
      </c>
      <c r="B421" t="s">
        <v>627</v>
      </c>
    </row>
    <row r="422" ht="15" customHeight="1" spans="1:2" x14ac:dyDescent="0.25">
      <c r="A422">
        <v>422</v>
      </c>
      <c r="B422" t="s">
        <v>628</v>
      </c>
    </row>
    <row r="423" ht="15" customHeight="1" spans="1:2" x14ac:dyDescent="0.25">
      <c r="A423">
        <v>423</v>
      </c>
      <c r="B423" t="s">
        <v>629</v>
      </c>
    </row>
    <row r="424" ht="15" customHeight="1" spans="1:2" x14ac:dyDescent="0.25">
      <c r="A424">
        <v>424</v>
      </c>
      <c r="B424" t="s">
        <v>630</v>
      </c>
    </row>
    <row r="425" ht="15" customHeight="1" spans="1:2" x14ac:dyDescent="0.25">
      <c r="A425">
        <v>425</v>
      </c>
      <c r="B425" t="s">
        <v>631</v>
      </c>
    </row>
    <row r="426" ht="15" customHeight="1" spans="1:2" x14ac:dyDescent="0.25">
      <c r="A426">
        <v>426</v>
      </c>
      <c r="B426" t="s">
        <v>632</v>
      </c>
    </row>
    <row r="427" ht="15" customHeight="1" spans="1:2" x14ac:dyDescent="0.25">
      <c r="A427">
        <v>427</v>
      </c>
      <c r="B427" t="s">
        <v>633</v>
      </c>
    </row>
    <row r="428" ht="15" customHeight="1" spans="1:2" x14ac:dyDescent="0.25">
      <c r="A428">
        <v>428</v>
      </c>
      <c r="B428" t="s">
        <v>634</v>
      </c>
    </row>
    <row r="429" ht="15" customHeight="1" spans="1:2" x14ac:dyDescent="0.25">
      <c r="A429">
        <v>429</v>
      </c>
      <c r="B429" t="s">
        <v>635</v>
      </c>
    </row>
    <row r="430" ht="15" customHeight="1" spans="1:2" x14ac:dyDescent="0.25">
      <c r="A430">
        <v>430</v>
      </c>
      <c r="B430" t="s">
        <v>636</v>
      </c>
    </row>
    <row r="431" ht="15" customHeight="1" spans="1:2" x14ac:dyDescent="0.25">
      <c r="A431">
        <v>431</v>
      </c>
      <c r="B431" t="s">
        <v>637</v>
      </c>
    </row>
    <row r="432" ht="15" customHeight="1" spans="1:2" x14ac:dyDescent="0.25">
      <c r="A432">
        <v>432</v>
      </c>
      <c r="B432" t="s">
        <v>638</v>
      </c>
    </row>
    <row r="433" ht="15" customHeight="1" spans="1:2" x14ac:dyDescent="0.25">
      <c r="A433">
        <v>433</v>
      </c>
      <c r="B433" t="s">
        <v>639</v>
      </c>
    </row>
    <row r="434" ht="15" customHeight="1" spans="1:2" x14ac:dyDescent="0.25">
      <c r="A434">
        <v>434</v>
      </c>
      <c r="B434" t="s">
        <v>640</v>
      </c>
    </row>
    <row r="435" ht="15" customHeight="1" spans="1:2" x14ac:dyDescent="0.25">
      <c r="A435">
        <v>435</v>
      </c>
      <c r="B435" t="s">
        <v>641</v>
      </c>
    </row>
    <row r="436" ht="15" customHeight="1" spans="1:2" x14ac:dyDescent="0.25">
      <c r="A436">
        <v>436</v>
      </c>
      <c r="B436" t="s">
        <v>642</v>
      </c>
    </row>
    <row r="437" ht="15" customHeight="1" spans="1:2" x14ac:dyDescent="0.25">
      <c r="A437">
        <v>437</v>
      </c>
      <c r="B437" t="s">
        <v>643</v>
      </c>
    </row>
    <row r="438" ht="15" customHeight="1" spans="1:2" x14ac:dyDescent="0.25">
      <c r="A438">
        <v>438</v>
      </c>
      <c r="B438" t="s">
        <v>644</v>
      </c>
    </row>
    <row r="439" ht="15" customHeight="1" spans="1:2" x14ac:dyDescent="0.25">
      <c r="A439">
        <v>439</v>
      </c>
      <c r="B439" t="s">
        <v>645</v>
      </c>
    </row>
    <row r="440" ht="15" customHeight="1" spans="1:2" x14ac:dyDescent="0.25">
      <c r="A440">
        <v>440</v>
      </c>
      <c r="B440" t="s">
        <v>646</v>
      </c>
    </row>
    <row r="441" ht="15" customHeight="1" spans="1:2" x14ac:dyDescent="0.25">
      <c r="A441">
        <v>441</v>
      </c>
      <c r="B441" t="s">
        <v>647</v>
      </c>
    </row>
    <row r="442" ht="15" customHeight="1" spans="1:2" x14ac:dyDescent="0.25">
      <c r="A442">
        <v>442</v>
      </c>
      <c r="B442" t="s">
        <v>648</v>
      </c>
    </row>
    <row r="443" ht="15" customHeight="1" spans="1:2" x14ac:dyDescent="0.25">
      <c r="A443">
        <v>443</v>
      </c>
      <c r="B443" t="s">
        <v>649</v>
      </c>
    </row>
    <row r="444" ht="15" customHeight="1" spans="1:2" x14ac:dyDescent="0.25">
      <c r="A444">
        <v>444</v>
      </c>
      <c r="B444" t="s">
        <v>650</v>
      </c>
    </row>
    <row r="445" ht="15" customHeight="1" spans="1:2" x14ac:dyDescent="0.25">
      <c r="A445">
        <v>445</v>
      </c>
      <c r="B445" t="s">
        <v>651</v>
      </c>
    </row>
    <row r="446" ht="15" customHeight="1" spans="1:2" x14ac:dyDescent="0.25">
      <c r="A446">
        <v>446</v>
      </c>
      <c r="B446" t="s">
        <v>652</v>
      </c>
    </row>
    <row r="447" ht="15" customHeight="1" spans="1:2" x14ac:dyDescent="0.25">
      <c r="A447">
        <v>447</v>
      </c>
      <c r="B447" t="s">
        <v>653</v>
      </c>
    </row>
    <row r="448" ht="15" customHeight="1" spans="1:2" x14ac:dyDescent="0.25">
      <c r="A448">
        <v>448</v>
      </c>
      <c r="B448" t="s">
        <v>654</v>
      </c>
    </row>
    <row r="449" ht="15" customHeight="1" spans="1:2" x14ac:dyDescent="0.25">
      <c r="A449">
        <v>449</v>
      </c>
      <c r="B449" t="s">
        <v>655</v>
      </c>
    </row>
    <row r="450" ht="15" customHeight="1" spans="1:2" x14ac:dyDescent="0.25">
      <c r="A450">
        <v>450</v>
      </c>
      <c r="B450" t="s">
        <v>656</v>
      </c>
    </row>
    <row r="451" ht="15" customHeight="1" spans="1:2" x14ac:dyDescent="0.25">
      <c r="A451">
        <v>451</v>
      </c>
      <c r="B451" t="s">
        <v>657</v>
      </c>
    </row>
    <row r="452" ht="15" customHeight="1" spans="1:2" x14ac:dyDescent="0.25">
      <c r="A452">
        <v>452</v>
      </c>
      <c r="B452" t="s">
        <v>658</v>
      </c>
    </row>
    <row r="453" ht="15" customHeight="1" spans="1:2" x14ac:dyDescent="0.25">
      <c r="A453">
        <v>453</v>
      </c>
      <c r="B453" t="s">
        <v>659</v>
      </c>
    </row>
    <row r="454" ht="15" customHeight="1" spans="1:2" x14ac:dyDescent="0.25">
      <c r="A454">
        <v>454</v>
      </c>
      <c r="B454" t="s">
        <v>660</v>
      </c>
    </row>
    <row r="455" ht="15" customHeight="1" spans="1:2" x14ac:dyDescent="0.25">
      <c r="A455">
        <v>455</v>
      </c>
      <c r="B455" t="s">
        <v>661</v>
      </c>
    </row>
    <row r="456" ht="15" customHeight="1" spans="1:2" x14ac:dyDescent="0.25">
      <c r="A456">
        <v>456</v>
      </c>
      <c r="B456" t="s">
        <v>662</v>
      </c>
    </row>
    <row r="457" ht="15" customHeight="1" spans="1:2" x14ac:dyDescent="0.25">
      <c r="A457">
        <v>457</v>
      </c>
      <c r="B457" t="s">
        <v>663</v>
      </c>
    </row>
    <row r="458" ht="15" customHeight="1" spans="1:2" x14ac:dyDescent="0.25">
      <c r="A458">
        <v>458</v>
      </c>
      <c r="B458" t="s">
        <v>664</v>
      </c>
    </row>
    <row r="459" ht="15" customHeight="1" spans="1:2" x14ac:dyDescent="0.25">
      <c r="A459">
        <v>459</v>
      </c>
      <c r="B459" t="s">
        <v>665</v>
      </c>
    </row>
    <row r="460" ht="15" customHeight="1" spans="1:2" x14ac:dyDescent="0.25">
      <c r="A460">
        <v>460</v>
      </c>
      <c r="B460" t="s">
        <v>666</v>
      </c>
    </row>
    <row r="461" ht="15" customHeight="1" spans="1:2" x14ac:dyDescent="0.25">
      <c r="A461">
        <v>461</v>
      </c>
      <c r="B461" t="s">
        <v>667</v>
      </c>
    </row>
    <row r="462" ht="15" customHeight="1" spans="1:2" x14ac:dyDescent="0.25">
      <c r="A462">
        <v>462</v>
      </c>
      <c r="B462" t="s">
        <v>668</v>
      </c>
    </row>
    <row r="463" ht="15" customHeight="1" spans="1:2" x14ac:dyDescent="0.25">
      <c r="A463">
        <v>463</v>
      </c>
      <c r="B463" t="s">
        <v>669</v>
      </c>
    </row>
    <row r="464" ht="15" customHeight="1" spans="1:2" x14ac:dyDescent="0.25">
      <c r="A464">
        <v>464</v>
      </c>
      <c r="B464" t="s">
        <v>670</v>
      </c>
    </row>
    <row r="465" ht="15" customHeight="1" spans="1:2" x14ac:dyDescent="0.25">
      <c r="A465">
        <v>465</v>
      </c>
      <c r="B465" t="s">
        <v>671</v>
      </c>
    </row>
    <row r="466" ht="15" customHeight="1" spans="1:2" x14ac:dyDescent="0.25">
      <c r="A466">
        <v>466</v>
      </c>
      <c r="B466" t="s">
        <v>672</v>
      </c>
    </row>
    <row r="467" ht="15" customHeight="1" spans="1:2" x14ac:dyDescent="0.25">
      <c r="A467">
        <v>467</v>
      </c>
      <c r="B467" t="s">
        <v>673</v>
      </c>
    </row>
    <row r="468" ht="15" customHeight="1" spans="1:2" x14ac:dyDescent="0.25">
      <c r="A468">
        <v>468</v>
      </c>
      <c r="B468" t="s">
        <v>674</v>
      </c>
    </row>
    <row r="469" ht="15" customHeight="1" spans="1:2" x14ac:dyDescent="0.25">
      <c r="A469">
        <v>469</v>
      </c>
      <c r="B469" t="s">
        <v>675</v>
      </c>
    </row>
    <row r="470" ht="15" customHeight="1" spans="1:2" x14ac:dyDescent="0.25">
      <c r="A470">
        <v>470</v>
      </c>
      <c r="B470" t="s">
        <v>676</v>
      </c>
    </row>
    <row r="471" ht="15" customHeight="1" spans="1:2" x14ac:dyDescent="0.25">
      <c r="A471">
        <v>471</v>
      </c>
      <c r="B471" t="s">
        <v>677</v>
      </c>
    </row>
    <row r="472" ht="15" customHeight="1" spans="1:2" x14ac:dyDescent="0.25">
      <c r="A472">
        <v>472</v>
      </c>
      <c r="B472" t="s">
        <v>678</v>
      </c>
    </row>
    <row r="473" ht="15" customHeight="1" spans="1:2" x14ac:dyDescent="0.25">
      <c r="A473">
        <v>473</v>
      </c>
      <c r="B473" t="s">
        <v>679</v>
      </c>
    </row>
    <row r="474" ht="15" customHeight="1" spans="1:2" x14ac:dyDescent="0.25">
      <c r="A474">
        <v>474</v>
      </c>
      <c r="B474" t="s">
        <v>680</v>
      </c>
    </row>
    <row r="475" ht="15" customHeight="1" spans="1:2" x14ac:dyDescent="0.25">
      <c r="A475">
        <v>475</v>
      </c>
      <c r="B475" t="s">
        <v>681</v>
      </c>
    </row>
    <row r="476" ht="15" customHeight="1" spans="1:2" x14ac:dyDescent="0.25">
      <c r="A476">
        <v>476</v>
      </c>
      <c r="B476" t="s">
        <v>682</v>
      </c>
    </row>
    <row r="477" ht="15" customHeight="1" spans="1:2" x14ac:dyDescent="0.25">
      <c r="A477">
        <v>477</v>
      </c>
      <c r="B477" t="s">
        <v>683</v>
      </c>
    </row>
    <row r="478" ht="15" customHeight="1" spans="1:2" x14ac:dyDescent="0.25">
      <c r="A478">
        <v>478</v>
      </c>
      <c r="B478" t="s">
        <v>684</v>
      </c>
    </row>
    <row r="479" ht="15" customHeight="1" spans="1:2" x14ac:dyDescent="0.25">
      <c r="A479">
        <v>479</v>
      </c>
      <c r="B479" t="s">
        <v>685</v>
      </c>
    </row>
    <row r="480" ht="15" customHeight="1" spans="1:2" x14ac:dyDescent="0.25">
      <c r="A480">
        <v>480</v>
      </c>
      <c r="B480" t="s">
        <v>686</v>
      </c>
    </row>
    <row r="481" ht="15" customHeight="1" spans="1:2" x14ac:dyDescent="0.25">
      <c r="A481">
        <v>481</v>
      </c>
      <c r="B481" t="s">
        <v>687</v>
      </c>
    </row>
    <row r="482" ht="15" customHeight="1" spans="1:2" x14ac:dyDescent="0.25">
      <c r="A482">
        <v>482</v>
      </c>
      <c r="B482" t="s">
        <v>688</v>
      </c>
    </row>
    <row r="483" ht="15" customHeight="1" spans="1:2" x14ac:dyDescent="0.25">
      <c r="A483">
        <v>483</v>
      </c>
      <c r="B483" t="s">
        <v>689</v>
      </c>
    </row>
    <row r="484" ht="15" customHeight="1" spans="1:2" x14ac:dyDescent="0.25">
      <c r="A484">
        <v>484</v>
      </c>
      <c r="B484" t="s">
        <v>690</v>
      </c>
    </row>
    <row r="485" ht="15" customHeight="1" spans="1:2" x14ac:dyDescent="0.25">
      <c r="A485">
        <v>485</v>
      </c>
      <c r="B485" t="s">
        <v>691</v>
      </c>
    </row>
    <row r="486" ht="15" customHeight="1" spans="1:2" x14ac:dyDescent="0.25">
      <c r="A486">
        <v>486</v>
      </c>
      <c r="B486" t="s">
        <v>692</v>
      </c>
    </row>
    <row r="487" ht="15" customHeight="1" spans="1:2" x14ac:dyDescent="0.25">
      <c r="A487">
        <v>487</v>
      </c>
      <c r="B487" t="s">
        <v>693</v>
      </c>
    </row>
    <row r="488" ht="15" customHeight="1" spans="1:2" x14ac:dyDescent="0.25">
      <c r="A488">
        <v>488</v>
      </c>
      <c r="B488" t="s">
        <v>694</v>
      </c>
    </row>
    <row r="489" ht="15" customHeight="1" spans="1:2" x14ac:dyDescent="0.25">
      <c r="A489">
        <v>489</v>
      </c>
      <c r="B489" t="s">
        <v>695</v>
      </c>
    </row>
    <row r="490" ht="15" customHeight="1" spans="1:2" x14ac:dyDescent="0.25">
      <c r="A490">
        <v>490</v>
      </c>
      <c r="B490" t="s">
        <v>696</v>
      </c>
    </row>
    <row r="491" ht="15" customHeight="1" spans="1:2" x14ac:dyDescent="0.25">
      <c r="A491">
        <v>491</v>
      </c>
      <c r="B491" t="s">
        <v>697</v>
      </c>
    </row>
    <row r="492" ht="15" customHeight="1" spans="1:2" x14ac:dyDescent="0.25">
      <c r="A492">
        <v>492</v>
      </c>
      <c r="B492" t="s">
        <v>698</v>
      </c>
    </row>
    <row r="493" ht="15" customHeight="1" spans="1:2" x14ac:dyDescent="0.25">
      <c r="A493">
        <v>493</v>
      </c>
      <c r="B493" t="s">
        <v>699</v>
      </c>
    </row>
    <row r="494" ht="15" customHeight="1" spans="1:2" x14ac:dyDescent="0.25">
      <c r="A494">
        <v>494</v>
      </c>
      <c r="B494" t="s">
        <v>700</v>
      </c>
    </row>
    <row r="495" ht="15" customHeight="1" spans="1:2" x14ac:dyDescent="0.25">
      <c r="A495">
        <v>495</v>
      </c>
      <c r="B495" t="s">
        <v>701</v>
      </c>
    </row>
    <row r="496" ht="15" customHeight="1" spans="1:2" x14ac:dyDescent="0.25">
      <c r="A496">
        <v>496</v>
      </c>
      <c r="B496" t="s">
        <v>702</v>
      </c>
    </row>
    <row r="497" ht="15" customHeight="1" spans="1:2" x14ac:dyDescent="0.25">
      <c r="A497">
        <v>497</v>
      </c>
      <c r="B497" t="s">
        <v>703</v>
      </c>
    </row>
    <row r="498" ht="15" customHeight="1" spans="1:2" x14ac:dyDescent="0.25">
      <c r="A498">
        <v>498</v>
      </c>
      <c r="B498" t="s">
        <v>704</v>
      </c>
    </row>
    <row r="499" ht="15" customHeight="1" spans="1:2" x14ac:dyDescent="0.25">
      <c r="A499">
        <v>499</v>
      </c>
      <c r="B499" t="s">
        <v>705</v>
      </c>
    </row>
    <row r="500" ht="15" customHeight="1" spans="1:2" x14ac:dyDescent="0.25">
      <c r="A500">
        <v>500</v>
      </c>
      <c r="B500" t="s">
        <v>706</v>
      </c>
    </row>
    <row r="501" ht="15" customHeight="1" spans="1:2" x14ac:dyDescent="0.25">
      <c r="A501">
        <v>501</v>
      </c>
      <c r="B501" t="s">
        <v>707</v>
      </c>
    </row>
    <row r="502" ht="15" customHeight="1" spans="1:2" x14ac:dyDescent="0.25">
      <c r="A502">
        <v>502</v>
      </c>
      <c r="B502" t="s">
        <v>708</v>
      </c>
    </row>
    <row r="503" ht="15" customHeight="1" spans="1:2" x14ac:dyDescent="0.25">
      <c r="A503">
        <v>503</v>
      </c>
      <c r="B503" t="s">
        <v>709</v>
      </c>
    </row>
    <row r="504" ht="15" customHeight="1" spans="1:2" x14ac:dyDescent="0.25">
      <c r="A504">
        <v>504</v>
      </c>
      <c r="B504" t="s">
        <v>710</v>
      </c>
    </row>
    <row r="505" ht="15" customHeight="1" spans="1:2" x14ac:dyDescent="0.25">
      <c r="A505">
        <v>505</v>
      </c>
      <c r="B505" t="s">
        <v>711</v>
      </c>
    </row>
    <row r="506" ht="15" customHeight="1" spans="1:2" x14ac:dyDescent="0.25">
      <c r="A506">
        <v>506</v>
      </c>
      <c r="B506" t="s">
        <v>712</v>
      </c>
    </row>
    <row r="507" ht="15" customHeight="1" spans="1:2" x14ac:dyDescent="0.25">
      <c r="A507">
        <v>507</v>
      </c>
      <c r="B507" t="s">
        <v>713</v>
      </c>
    </row>
    <row r="508" ht="15" customHeight="1" spans="1:2" x14ac:dyDescent="0.25">
      <c r="A508">
        <v>508</v>
      </c>
      <c r="B508" t="s">
        <v>714</v>
      </c>
    </row>
    <row r="509" ht="15" customHeight="1" spans="1:2" x14ac:dyDescent="0.25">
      <c r="A509">
        <v>509</v>
      </c>
      <c r="B509" t="s">
        <v>715</v>
      </c>
    </row>
    <row r="510" ht="15" customHeight="1" spans="1:2" x14ac:dyDescent="0.25">
      <c r="A510">
        <v>510</v>
      </c>
      <c r="B510" t="s">
        <v>716</v>
      </c>
    </row>
    <row r="511" ht="15" customHeight="1" spans="1:2" x14ac:dyDescent="0.25">
      <c r="A511">
        <v>511</v>
      </c>
      <c r="B511" t="s">
        <v>717</v>
      </c>
    </row>
    <row r="512" ht="15" customHeight="1" spans="1:2" x14ac:dyDescent="0.25">
      <c r="A512">
        <v>512</v>
      </c>
      <c r="B512" t="s">
        <v>718</v>
      </c>
    </row>
    <row r="513" ht="15" customHeight="1" spans="1:2" x14ac:dyDescent="0.25">
      <c r="A513">
        <v>513</v>
      </c>
      <c r="B513" t="s">
        <v>719</v>
      </c>
    </row>
    <row r="514" ht="15" customHeight="1" spans="1:2" x14ac:dyDescent="0.25">
      <c r="A514">
        <v>514</v>
      </c>
      <c r="B514" t="s">
        <v>720</v>
      </c>
    </row>
    <row r="515" ht="15" customHeight="1" spans="1:2" x14ac:dyDescent="0.25">
      <c r="A515">
        <v>515</v>
      </c>
      <c r="B515" t="s">
        <v>721</v>
      </c>
    </row>
    <row r="516" ht="15" customHeight="1" spans="1:2" x14ac:dyDescent="0.25">
      <c r="A516">
        <v>516</v>
      </c>
      <c r="B516" t="s">
        <v>722</v>
      </c>
    </row>
    <row r="517" ht="15" customHeight="1" spans="1:2" x14ac:dyDescent="0.25">
      <c r="A517">
        <v>517</v>
      </c>
      <c r="B517" t="s">
        <v>723</v>
      </c>
    </row>
    <row r="518" ht="15" customHeight="1" spans="1:2" x14ac:dyDescent="0.25">
      <c r="A518">
        <v>518</v>
      </c>
      <c r="B518" t="s">
        <v>724</v>
      </c>
    </row>
    <row r="519" ht="15" customHeight="1" spans="1:2" x14ac:dyDescent="0.25">
      <c r="A519">
        <v>519</v>
      </c>
      <c r="B519" t="s">
        <v>725</v>
      </c>
    </row>
    <row r="520" ht="15" customHeight="1" spans="1:2" x14ac:dyDescent="0.25">
      <c r="A520">
        <v>520</v>
      </c>
      <c r="B520" t="s">
        <v>726</v>
      </c>
    </row>
    <row r="521" ht="15" customHeight="1" spans="1:2" x14ac:dyDescent="0.25">
      <c r="A521">
        <v>521</v>
      </c>
      <c r="B521" t="s">
        <v>727</v>
      </c>
    </row>
    <row r="522" ht="15" customHeight="1" spans="1:2" x14ac:dyDescent="0.25">
      <c r="A522">
        <v>522</v>
      </c>
      <c r="B522" t="s">
        <v>728</v>
      </c>
    </row>
    <row r="523" ht="15" customHeight="1" spans="1:2" x14ac:dyDescent="0.25">
      <c r="A523">
        <v>523</v>
      </c>
      <c r="B523" t="s">
        <v>729</v>
      </c>
    </row>
    <row r="524" ht="15" customHeight="1" spans="1:2" x14ac:dyDescent="0.25">
      <c r="A524">
        <v>524</v>
      </c>
      <c r="B524" t="s">
        <v>730</v>
      </c>
    </row>
    <row r="525" ht="15" customHeight="1" spans="1:2" x14ac:dyDescent="0.25">
      <c r="A525">
        <v>525</v>
      </c>
      <c r="B525" t="s">
        <v>731</v>
      </c>
    </row>
    <row r="526" ht="15" customHeight="1" spans="1:2" x14ac:dyDescent="0.25">
      <c r="A526">
        <v>526</v>
      </c>
      <c r="B526" t="s">
        <v>732</v>
      </c>
    </row>
    <row r="527" ht="15" customHeight="1" spans="1:2" x14ac:dyDescent="0.25">
      <c r="A527">
        <v>527</v>
      </c>
      <c r="B527" t="s">
        <v>733</v>
      </c>
    </row>
    <row r="528" ht="15" customHeight="1" spans="1:2" x14ac:dyDescent="0.25">
      <c r="A528">
        <v>528</v>
      </c>
      <c r="B528" t="s">
        <v>734</v>
      </c>
    </row>
    <row r="529" ht="15" customHeight="1" spans="1:2" x14ac:dyDescent="0.25">
      <c r="A529">
        <v>529</v>
      </c>
      <c r="B529" t="s">
        <v>735</v>
      </c>
    </row>
    <row r="530" ht="15" customHeight="1" spans="1:2" x14ac:dyDescent="0.25">
      <c r="A530">
        <v>530</v>
      </c>
      <c r="B530" t="s">
        <v>736</v>
      </c>
    </row>
    <row r="531" ht="15" customHeight="1" spans="1:2" x14ac:dyDescent="0.25">
      <c r="A531">
        <v>531</v>
      </c>
      <c r="B531" t="s">
        <v>737</v>
      </c>
    </row>
    <row r="532" ht="15" customHeight="1" spans="1:2" x14ac:dyDescent="0.25">
      <c r="A532">
        <v>532</v>
      </c>
      <c r="B532" t="s">
        <v>738</v>
      </c>
    </row>
    <row r="533" ht="15" customHeight="1" spans="1:2" x14ac:dyDescent="0.25">
      <c r="A533">
        <v>533</v>
      </c>
      <c r="B533" t="s">
        <v>739</v>
      </c>
    </row>
    <row r="534" ht="15" customHeight="1" spans="1:2" x14ac:dyDescent="0.25">
      <c r="A534">
        <v>534</v>
      </c>
      <c r="B534" t="s">
        <v>740</v>
      </c>
    </row>
    <row r="535" ht="15" customHeight="1" spans="1:2" x14ac:dyDescent="0.25">
      <c r="A535">
        <v>535</v>
      </c>
      <c r="B535" t="s">
        <v>741</v>
      </c>
    </row>
    <row r="536" ht="15" customHeight="1" spans="1:2" x14ac:dyDescent="0.25">
      <c r="A536">
        <v>536</v>
      </c>
      <c r="B536" t="s">
        <v>742</v>
      </c>
    </row>
    <row r="537" ht="15" customHeight="1" spans="1:2" x14ac:dyDescent="0.25">
      <c r="A537">
        <v>537</v>
      </c>
      <c r="B537" t="s">
        <v>743</v>
      </c>
    </row>
    <row r="538" ht="15" customHeight="1" spans="1:2" x14ac:dyDescent="0.25">
      <c r="A538">
        <v>538</v>
      </c>
      <c r="B538" t="s">
        <v>744</v>
      </c>
    </row>
    <row r="539" ht="15" customHeight="1" spans="1:2" x14ac:dyDescent="0.25">
      <c r="A539">
        <v>539</v>
      </c>
      <c r="B539" t="s">
        <v>745</v>
      </c>
    </row>
    <row r="540" ht="15" customHeight="1" spans="1:2" x14ac:dyDescent="0.25">
      <c r="A540">
        <v>540</v>
      </c>
      <c r="B540" t="s">
        <v>746</v>
      </c>
    </row>
    <row r="541" ht="15" customHeight="1" spans="1:2" x14ac:dyDescent="0.25">
      <c r="A541">
        <v>541</v>
      </c>
      <c r="B541" t="s">
        <v>747</v>
      </c>
    </row>
    <row r="542" ht="15" customHeight="1" spans="1:2" x14ac:dyDescent="0.25">
      <c r="A542">
        <v>542</v>
      </c>
      <c r="B542" t="s">
        <v>748</v>
      </c>
    </row>
    <row r="543" ht="15" customHeight="1" spans="1:2" x14ac:dyDescent="0.25">
      <c r="A543">
        <v>543</v>
      </c>
      <c r="B543" t="s">
        <v>749</v>
      </c>
    </row>
    <row r="544" ht="15" customHeight="1" spans="1:2" x14ac:dyDescent="0.25">
      <c r="A544">
        <v>544</v>
      </c>
      <c r="B544" t="s">
        <v>750</v>
      </c>
    </row>
    <row r="545" ht="15" customHeight="1" spans="1:2" x14ac:dyDescent="0.25">
      <c r="A545">
        <v>545</v>
      </c>
      <c r="B545" t="s">
        <v>751</v>
      </c>
    </row>
    <row r="546" ht="15" customHeight="1" spans="1:2" x14ac:dyDescent="0.25">
      <c r="A546">
        <v>546</v>
      </c>
      <c r="B546" t="s">
        <v>752</v>
      </c>
    </row>
    <row r="547" ht="15" customHeight="1" spans="1:2" x14ac:dyDescent="0.25">
      <c r="A547">
        <v>547</v>
      </c>
      <c r="B547" t="s">
        <v>753</v>
      </c>
    </row>
    <row r="548" ht="15" customHeight="1" spans="1:2" x14ac:dyDescent="0.25">
      <c r="A548">
        <v>548</v>
      </c>
      <c r="B548" t="s">
        <v>754</v>
      </c>
    </row>
    <row r="549" ht="15" customHeight="1" spans="1:2" x14ac:dyDescent="0.25">
      <c r="A549">
        <v>549</v>
      </c>
      <c r="B549" t="s">
        <v>755</v>
      </c>
    </row>
    <row r="550" ht="15" customHeight="1" spans="1:2" x14ac:dyDescent="0.25">
      <c r="A550">
        <v>550</v>
      </c>
      <c r="B550" t="s">
        <v>756</v>
      </c>
    </row>
    <row r="551" ht="15" customHeight="1" spans="1:2" x14ac:dyDescent="0.25">
      <c r="A551">
        <v>551</v>
      </c>
      <c r="B551" t="s">
        <v>757</v>
      </c>
    </row>
    <row r="552" ht="15" customHeight="1" spans="1:2" x14ac:dyDescent="0.25">
      <c r="A552">
        <v>552</v>
      </c>
      <c r="B552" t="s">
        <v>758</v>
      </c>
    </row>
    <row r="553" ht="15" customHeight="1" spans="1:2" x14ac:dyDescent="0.25">
      <c r="A553">
        <v>553</v>
      </c>
      <c r="B553" t="s">
        <v>759</v>
      </c>
    </row>
    <row r="554" ht="15" customHeight="1" spans="1:2" x14ac:dyDescent="0.25">
      <c r="A554">
        <v>554</v>
      </c>
      <c r="B554" t="s">
        <v>760</v>
      </c>
    </row>
    <row r="555" ht="15" customHeight="1" spans="1:2" x14ac:dyDescent="0.25">
      <c r="A555">
        <v>555</v>
      </c>
      <c r="B555" t="s">
        <v>761</v>
      </c>
    </row>
    <row r="556" ht="15" customHeight="1" spans="1:2" x14ac:dyDescent="0.25">
      <c r="A556">
        <v>556</v>
      </c>
      <c r="B556" t="s">
        <v>762</v>
      </c>
    </row>
    <row r="557" ht="15" customHeight="1" spans="1:2" x14ac:dyDescent="0.25">
      <c r="A557">
        <v>557</v>
      </c>
      <c r="B557" t="s">
        <v>763</v>
      </c>
    </row>
    <row r="558" ht="15" customHeight="1" spans="1:2" x14ac:dyDescent="0.25">
      <c r="A558">
        <v>558</v>
      </c>
      <c r="B558" t="s">
        <v>764</v>
      </c>
    </row>
    <row r="559" ht="15" customHeight="1" spans="1:2" x14ac:dyDescent="0.25">
      <c r="A559">
        <v>559</v>
      </c>
      <c r="B559" t="s">
        <v>765</v>
      </c>
    </row>
    <row r="560" ht="15" customHeight="1" spans="1:2" x14ac:dyDescent="0.25">
      <c r="A560">
        <v>560</v>
      </c>
      <c r="B560" t="s">
        <v>766</v>
      </c>
    </row>
    <row r="561" ht="15" customHeight="1" spans="1:2" x14ac:dyDescent="0.25">
      <c r="A561">
        <v>561</v>
      </c>
      <c r="B561" t="s">
        <v>767</v>
      </c>
    </row>
    <row r="562" ht="15" customHeight="1" spans="1:2" x14ac:dyDescent="0.25">
      <c r="A562">
        <v>562</v>
      </c>
      <c r="B562" t="s">
        <v>768</v>
      </c>
    </row>
    <row r="563" ht="15" customHeight="1" spans="1:2" x14ac:dyDescent="0.25">
      <c r="A563">
        <v>563</v>
      </c>
      <c r="B563" t="s">
        <v>769</v>
      </c>
    </row>
    <row r="564" ht="15" customHeight="1" spans="1:2" x14ac:dyDescent="0.25">
      <c r="A564">
        <v>564</v>
      </c>
      <c r="B564" t="s">
        <v>770</v>
      </c>
    </row>
    <row r="565" ht="15" customHeight="1" spans="1:2" x14ac:dyDescent="0.25">
      <c r="A565">
        <v>565</v>
      </c>
      <c r="B565" t="s">
        <v>771</v>
      </c>
    </row>
    <row r="566" ht="15" customHeight="1" spans="1:2" x14ac:dyDescent="0.25">
      <c r="A566">
        <v>566</v>
      </c>
      <c r="B566" t="s">
        <v>772</v>
      </c>
    </row>
    <row r="567" ht="15" customHeight="1" spans="1:2" x14ac:dyDescent="0.25">
      <c r="A567">
        <v>567</v>
      </c>
      <c r="B567" t="s">
        <v>773</v>
      </c>
    </row>
    <row r="568" ht="15" customHeight="1" spans="1:2" x14ac:dyDescent="0.25">
      <c r="A568">
        <v>568</v>
      </c>
      <c r="B568" t="s">
        <v>774</v>
      </c>
    </row>
    <row r="569" ht="15" customHeight="1" spans="1:2" x14ac:dyDescent="0.25">
      <c r="A569">
        <v>569</v>
      </c>
      <c r="B569" t="s">
        <v>775</v>
      </c>
    </row>
    <row r="570" ht="15" customHeight="1" spans="1:2" x14ac:dyDescent="0.25">
      <c r="A570">
        <v>570</v>
      </c>
      <c r="B570" t="s">
        <v>776</v>
      </c>
    </row>
    <row r="571" ht="15" customHeight="1" spans="1:2" x14ac:dyDescent="0.25">
      <c r="A571">
        <v>571</v>
      </c>
      <c r="B571" t="s">
        <v>777</v>
      </c>
    </row>
    <row r="572" ht="15" customHeight="1" spans="1:2" x14ac:dyDescent="0.25">
      <c r="A572">
        <v>572</v>
      </c>
      <c r="B572" t="s">
        <v>778</v>
      </c>
    </row>
    <row r="573" ht="15" customHeight="1" spans="1:2" x14ac:dyDescent="0.25">
      <c r="A573">
        <v>573</v>
      </c>
      <c r="B573" t="s">
        <v>779</v>
      </c>
    </row>
    <row r="574" ht="15" customHeight="1" spans="1:2" x14ac:dyDescent="0.25">
      <c r="A574">
        <v>574</v>
      </c>
      <c r="B574" t="s">
        <v>780</v>
      </c>
    </row>
    <row r="575" ht="15" customHeight="1" spans="1:2" x14ac:dyDescent="0.25">
      <c r="A575">
        <v>575</v>
      </c>
      <c r="B575" t="s">
        <v>781</v>
      </c>
    </row>
    <row r="576" ht="15" customHeight="1" spans="1:2" x14ac:dyDescent="0.25">
      <c r="A576">
        <v>576</v>
      </c>
      <c r="B576" t="s">
        <v>782</v>
      </c>
    </row>
    <row r="577" ht="15" customHeight="1" spans="1:2" x14ac:dyDescent="0.25">
      <c r="A577">
        <v>577</v>
      </c>
      <c r="B577" t="s">
        <v>783</v>
      </c>
    </row>
    <row r="578" ht="15" customHeight="1" spans="1:2" x14ac:dyDescent="0.25">
      <c r="A578">
        <v>578</v>
      </c>
      <c r="B578" t="s">
        <v>784</v>
      </c>
    </row>
    <row r="579" ht="15" customHeight="1" spans="1:2" x14ac:dyDescent="0.25">
      <c r="A579">
        <v>579</v>
      </c>
      <c r="B579" t="s">
        <v>785</v>
      </c>
    </row>
    <row r="580" ht="15" customHeight="1" spans="1:2" x14ac:dyDescent="0.25">
      <c r="A580">
        <v>580</v>
      </c>
      <c r="B580" t="s">
        <v>786</v>
      </c>
    </row>
    <row r="581" ht="15" customHeight="1" spans="1:2" x14ac:dyDescent="0.25">
      <c r="A581">
        <v>581</v>
      </c>
      <c r="B581" t="s">
        <v>787</v>
      </c>
    </row>
    <row r="582" ht="15" customHeight="1" spans="1:2" x14ac:dyDescent="0.25">
      <c r="A582">
        <v>582</v>
      </c>
      <c r="B582" t="s">
        <v>788</v>
      </c>
    </row>
    <row r="583" ht="15" customHeight="1" spans="1:2" x14ac:dyDescent="0.25">
      <c r="A583">
        <v>583</v>
      </c>
      <c r="B583" t="s">
        <v>789</v>
      </c>
    </row>
    <row r="584" ht="15" customHeight="1" spans="1:2" x14ac:dyDescent="0.25">
      <c r="A584">
        <v>584</v>
      </c>
      <c r="B584" t="s">
        <v>790</v>
      </c>
    </row>
    <row r="585" ht="15" customHeight="1" spans="1:2" x14ac:dyDescent="0.25">
      <c r="A585">
        <v>585</v>
      </c>
      <c r="B585" t="s">
        <v>791</v>
      </c>
    </row>
    <row r="586" ht="15" customHeight="1" spans="1:2" x14ac:dyDescent="0.25">
      <c r="A586">
        <v>586</v>
      </c>
      <c r="B586" t="s">
        <v>792</v>
      </c>
    </row>
    <row r="587" ht="15" customHeight="1" spans="1:2" x14ac:dyDescent="0.25">
      <c r="A587">
        <v>587</v>
      </c>
      <c r="B587" t="s">
        <v>793</v>
      </c>
    </row>
    <row r="588" ht="15" customHeight="1" spans="1:2" x14ac:dyDescent="0.25">
      <c r="A588">
        <v>588</v>
      </c>
      <c r="B588" t="s">
        <v>794</v>
      </c>
    </row>
    <row r="589" ht="15" customHeight="1" spans="1:2" x14ac:dyDescent="0.25">
      <c r="A589">
        <v>589</v>
      </c>
      <c r="B589" t="s">
        <v>795</v>
      </c>
    </row>
    <row r="590" ht="15" customHeight="1" spans="1:2" x14ac:dyDescent="0.25">
      <c r="A590">
        <v>590</v>
      </c>
      <c r="B590" t="s">
        <v>796</v>
      </c>
    </row>
    <row r="591" ht="15" customHeight="1" spans="1:2" x14ac:dyDescent="0.25">
      <c r="A591">
        <v>591</v>
      </c>
      <c r="B591" t="s">
        <v>797</v>
      </c>
    </row>
    <row r="592" ht="15" customHeight="1" spans="1:2" x14ac:dyDescent="0.25">
      <c r="A592">
        <v>592</v>
      </c>
      <c r="B592" t="s">
        <v>798</v>
      </c>
    </row>
    <row r="593" ht="15" customHeight="1" spans="1:2" x14ac:dyDescent="0.25">
      <c r="A593">
        <v>593</v>
      </c>
      <c r="B593" t="s">
        <v>799</v>
      </c>
    </row>
    <row r="594" ht="15" customHeight="1" spans="1:2" x14ac:dyDescent="0.25">
      <c r="A594">
        <v>594</v>
      </c>
      <c r="B594" t="s">
        <v>800</v>
      </c>
    </row>
    <row r="595" ht="15" customHeight="1" spans="1:2" x14ac:dyDescent="0.25">
      <c r="A595">
        <v>595</v>
      </c>
      <c r="B595" t="s">
        <v>801</v>
      </c>
    </row>
    <row r="596" ht="15" customHeight="1" spans="1:2" x14ac:dyDescent="0.25">
      <c r="A596">
        <v>596</v>
      </c>
      <c r="B596" t="s">
        <v>802</v>
      </c>
    </row>
    <row r="597" ht="15" customHeight="1" spans="1:2" x14ac:dyDescent="0.25">
      <c r="A597">
        <v>597</v>
      </c>
      <c r="B597" t="s">
        <v>803</v>
      </c>
    </row>
    <row r="598" ht="15" customHeight="1" spans="1:2" x14ac:dyDescent="0.25">
      <c r="A598">
        <v>598</v>
      </c>
      <c r="B598" t="s">
        <v>804</v>
      </c>
    </row>
    <row r="599" ht="15" customHeight="1" spans="1:2" x14ac:dyDescent="0.25">
      <c r="A599">
        <v>599</v>
      </c>
      <c r="B599" t="s">
        <v>805</v>
      </c>
    </row>
    <row r="600" ht="15" customHeight="1" spans="1:2" x14ac:dyDescent="0.25">
      <c r="A600">
        <v>600</v>
      </c>
      <c r="B600" t="s">
        <v>806</v>
      </c>
    </row>
    <row r="601" ht="15" customHeight="1" spans="1:2" x14ac:dyDescent="0.25">
      <c r="A601">
        <v>601</v>
      </c>
      <c r="B601" t="s">
        <v>807</v>
      </c>
    </row>
    <row r="602" ht="15" customHeight="1" spans="1:2" x14ac:dyDescent="0.25">
      <c r="A602">
        <v>602</v>
      </c>
      <c r="B602" t="s">
        <v>808</v>
      </c>
    </row>
    <row r="603" ht="15" customHeight="1" spans="1:2" x14ac:dyDescent="0.25">
      <c r="A603">
        <v>603</v>
      </c>
      <c r="B603" t="s">
        <v>809</v>
      </c>
    </row>
    <row r="604" ht="15" customHeight="1" spans="1:2" x14ac:dyDescent="0.25">
      <c r="A604">
        <v>604</v>
      </c>
      <c r="B604" t="s">
        <v>810</v>
      </c>
    </row>
    <row r="605" ht="15" customHeight="1" spans="1:2" x14ac:dyDescent="0.25">
      <c r="A605">
        <v>605</v>
      </c>
      <c r="B605" t="s">
        <v>811</v>
      </c>
    </row>
    <row r="606" ht="15" customHeight="1" spans="1:2" x14ac:dyDescent="0.25">
      <c r="A606">
        <v>606</v>
      </c>
      <c r="B606" t="s">
        <v>812</v>
      </c>
    </row>
    <row r="607" ht="15" customHeight="1" spans="1:2" x14ac:dyDescent="0.25">
      <c r="A607">
        <v>607</v>
      </c>
      <c r="B607" t="s">
        <v>813</v>
      </c>
    </row>
    <row r="608" ht="15" customHeight="1" spans="1:2" x14ac:dyDescent="0.25">
      <c r="A608">
        <v>608</v>
      </c>
      <c r="B608" t="s">
        <v>814</v>
      </c>
    </row>
    <row r="609" ht="15" customHeight="1" spans="1:2" x14ac:dyDescent="0.25">
      <c r="A609">
        <v>609</v>
      </c>
      <c r="B609" t="s">
        <v>815</v>
      </c>
    </row>
    <row r="610" ht="15" customHeight="1" spans="1:2" x14ac:dyDescent="0.25">
      <c r="A610">
        <v>610</v>
      </c>
      <c r="B610" t="s">
        <v>816</v>
      </c>
    </row>
    <row r="611" ht="15" customHeight="1" spans="1:2" x14ac:dyDescent="0.25">
      <c r="A611">
        <v>611</v>
      </c>
      <c r="B611" t="s">
        <v>817</v>
      </c>
    </row>
    <row r="612" ht="15" customHeight="1" spans="1:2" x14ac:dyDescent="0.25">
      <c r="A612">
        <v>612</v>
      </c>
      <c r="B612" t="s">
        <v>818</v>
      </c>
    </row>
    <row r="613" ht="15" customHeight="1" spans="1:2" x14ac:dyDescent="0.25">
      <c r="A613">
        <v>613</v>
      </c>
      <c r="B613" t="s">
        <v>819</v>
      </c>
    </row>
    <row r="614" ht="15" customHeight="1" spans="1:2" x14ac:dyDescent="0.25">
      <c r="A614">
        <v>614</v>
      </c>
      <c r="B614" t="s">
        <v>820</v>
      </c>
    </row>
    <row r="615" ht="15" customHeight="1" spans="1:2" x14ac:dyDescent="0.25">
      <c r="A615">
        <v>615</v>
      </c>
      <c r="B615" t="s">
        <v>821</v>
      </c>
    </row>
    <row r="616" ht="15" customHeight="1" spans="1:2" x14ac:dyDescent="0.25">
      <c r="A616">
        <v>616</v>
      </c>
      <c r="B616" t="s">
        <v>822</v>
      </c>
    </row>
    <row r="617" ht="15" customHeight="1" spans="1:2" x14ac:dyDescent="0.25">
      <c r="A617">
        <v>617</v>
      </c>
      <c r="B617" t="s">
        <v>823</v>
      </c>
    </row>
    <row r="618" ht="15" customHeight="1" spans="1:2" x14ac:dyDescent="0.25">
      <c r="A618">
        <v>618</v>
      </c>
      <c r="B618" t="s">
        <v>824</v>
      </c>
    </row>
    <row r="619" ht="15" customHeight="1" spans="1:2" x14ac:dyDescent="0.25">
      <c r="A619">
        <v>619</v>
      </c>
      <c r="B619" t="s">
        <v>825</v>
      </c>
    </row>
    <row r="620" ht="15" customHeight="1" spans="1:2" x14ac:dyDescent="0.25">
      <c r="A620">
        <v>620</v>
      </c>
      <c r="B620" t="s">
        <v>826</v>
      </c>
    </row>
    <row r="621" ht="15" customHeight="1" spans="1:2" x14ac:dyDescent="0.25">
      <c r="A621">
        <v>621</v>
      </c>
      <c r="B621" t="s">
        <v>827</v>
      </c>
    </row>
    <row r="622" ht="15" customHeight="1" spans="1:2" x14ac:dyDescent="0.25">
      <c r="A622">
        <v>622</v>
      </c>
      <c r="B622" t="s">
        <v>828</v>
      </c>
    </row>
    <row r="623" ht="15" customHeight="1" spans="1:2" x14ac:dyDescent="0.25">
      <c r="A623">
        <v>623</v>
      </c>
      <c r="B623" t="s">
        <v>829</v>
      </c>
    </row>
    <row r="624" ht="15" customHeight="1" spans="1:2" x14ac:dyDescent="0.25">
      <c r="A624">
        <v>624</v>
      </c>
      <c r="B624" t="s">
        <v>830</v>
      </c>
    </row>
    <row r="625" ht="15" customHeight="1" spans="1:2" x14ac:dyDescent="0.25">
      <c r="A625">
        <v>625</v>
      </c>
      <c r="B625" t="s">
        <v>831</v>
      </c>
    </row>
    <row r="626" ht="15" customHeight="1" spans="1:2" x14ac:dyDescent="0.25">
      <c r="A626">
        <v>626</v>
      </c>
      <c r="B626" t="s">
        <v>832</v>
      </c>
    </row>
    <row r="627" ht="15" customHeight="1" spans="1:2" x14ac:dyDescent="0.25">
      <c r="A627">
        <v>627</v>
      </c>
      <c r="B627" t="s">
        <v>833</v>
      </c>
    </row>
    <row r="628" ht="15" customHeight="1" spans="1:2" x14ac:dyDescent="0.25">
      <c r="A628">
        <v>628</v>
      </c>
      <c r="B628" t="s">
        <v>834</v>
      </c>
    </row>
    <row r="629" ht="15" customHeight="1" spans="1:2" x14ac:dyDescent="0.25">
      <c r="A629">
        <v>629</v>
      </c>
      <c r="B629" t="s">
        <v>835</v>
      </c>
    </row>
    <row r="630" ht="15" customHeight="1" spans="1:2" x14ac:dyDescent="0.25">
      <c r="A630">
        <v>630</v>
      </c>
      <c r="B630" t="s">
        <v>836</v>
      </c>
    </row>
    <row r="631" ht="15" customHeight="1" spans="1:2" x14ac:dyDescent="0.25">
      <c r="A631">
        <v>631</v>
      </c>
      <c r="B631" t="s">
        <v>837</v>
      </c>
    </row>
    <row r="632" ht="15" customHeight="1" spans="1:2" x14ac:dyDescent="0.25">
      <c r="A632">
        <v>632</v>
      </c>
      <c r="B632" t="s">
        <v>838</v>
      </c>
    </row>
    <row r="633" ht="15" customHeight="1" spans="1:2" x14ac:dyDescent="0.25">
      <c r="A633">
        <v>633</v>
      </c>
      <c r="B633" t="s">
        <v>839</v>
      </c>
    </row>
    <row r="634" ht="15" customHeight="1" spans="1:2" x14ac:dyDescent="0.25">
      <c r="A634">
        <v>634</v>
      </c>
      <c r="B634" t="s">
        <v>840</v>
      </c>
    </row>
    <row r="635" ht="15" customHeight="1" spans="1:2" x14ac:dyDescent="0.25">
      <c r="A635">
        <v>635</v>
      </c>
      <c r="B635" t="s">
        <v>841</v>
      </c>
    </row>
    <row r="636" ht="15" customHeight="1" spans="1:2" x14ac:dyDescent="0.25">
      <c r="A636">
        <v>636</v>
      </c>
      <c r="B636" t="s">
        <v>842</v>
      </c>
    </row>
    <row r="637" ht="15" customHeight="1" spans="1:2" x14ac:dyDescent="0.25">
      <c r="A637">
        <v>637</v>
      </c>
      <c r="B637" t="s">
        <v>843</v>
      </c>
    </row>
    <row r="638" ht="15" customHeight="1" spans="1:2" x14ac:dyDescent="0.25">
      <c r="A638">
        <v>638</v>
      </c>
      <c r="B638" t="s">
        <v>844</v>
      </c>
    </row>
    <row r="639" ht="15" customHeight="1" spans="1:2" x14ac:dyDescent="0.25">
      <c r="A639">
        <v>639</v>
      </c>
      <c r="B639" t="s">
        <v>845</v>
      </c>
    </row>
    <row r="640" ht="15" customHeight="1" spans="1:2" x14ac:dyDescent="0.25">
      <c r="A640">
        <v>640</v>
      </c>
      <c r="B640" t="s">
        <v>846</v>
      </c>
    </row>
    <row r="641" ht="15" customHeight="1" spans="1:2" x14ac:dyDescent="0.25">
      <c r="A641">
        <v>641</v>
      </c>
      <c r="B641" t="s">
        <v>847</v>
      </c>
    </row>
    <row r="642" ht="15" customHeight="1" spans="1:2" x14ac:dyDescent="0.25">
      <c r="A642">
        <v>642</v>
      </c>
      <c r="B642" t="s">
        <v>848</v>
      </c>
    </row>
    <row r="643" ht="15" customHeight="1" spans="1:2" x14ac:dyDescent="0.25">
      <c r="A643">
        <v>643</v>
      </c>
      <c r="B643" t="s">
        <v>849</v>
      </c>
    </row>
    <row r="644" ht="15" customHeight="1" spans="1:2" x14ac:dyDescent="0.25">
      <c r="A644">
        <v>644</v>
      </c>
      <c r="B644" t="s">
        <v>850</v>
      </c>
    </row>
    <row r="645" ht="15" customHeight="1" spans="1:2" x14ac:dyDescent="0.25">
      <c r="A645">
        <v>645</v>
      </c>
      <c r="B645" t="s">
        <v>851</v>
      </c>
    </row>
    <row r="646" ht="15" customHeight="1" spans="1:2" x14ac:dyDescent="0.25">
      <c r="A646">
        <v>646</v>
      </c>
      <c r="B646" t="s">
        <v>852</v>
      </c>
    </row>
    <row r="647" ht="15" customHeight="1" spans="1:2" x14ac:dyDescent="0.25">
      <c r="A647">
        <v>647</v>
      </c>
      <c r="B647" t="s">
        <v>853</v>
      </c>
    </row>
    <row r="648" ht="15" customHeight="1" spans="1:2" x14ac:dyDescent="0.25">
      <c r="A648">
        <v>648</v>
      </c>
      <c r="B648" t="s">
        <v>854</v>
      </c>
    </row>
    <row r="649" ht="15" customHeight="1" spans="1:2" x14ac:dyDescent="0.25">
      <c r="A649">
        <v>649</v>
      </c>
      <c r="B649" t="s">
        <v>855</v>
      </c>
    </row>
    <row r="650" ht="15" customHeight="1" spans="1:2" x14ac:dyDescent="0.25">
      <c r="A650">
        <v>650</v>
      </c>
      <c r="B650" t="s">
        <v>856</v>
      </c>
    </row>
    <row r="651" ht="15" customHeight="1" spans="1:2" x14ac:dyDescent="0.25">
      <c r="A651">
        <v>651</v>
      </c>
      <c r="B651" t="s">
        <v>857</v>
      </c>
    </row>
    <row r="652" ht="15" customHeight="1" spans="1:2" x14ac:dyDescent="0.25">
      <c r="A652">
        <v>652</v>
      </c>
      <c r="B652" t="s">
        <v>858</v>
      </c>
    </row>
    <row r="653" ht="15" customHeight="1" spans="1:2" x14ac:dyDescent="0.25">
      <c r="A653">
        <v>653</v>
      </c>
      <c r="B653" t="s">
        <v>859</v>
      </c>
    </row>
    <row r="654" ht="15" customHeight="1" spans="1:2" x14ac:dyDescent="0.25">
      <c r="A654">
        <v>654</v>
      </c>
      <c r="B654" t="s">
        <v>860</v>
      </c>
    </row>
    <row r="655" ht="15" customHeight="1" spans="1:2" x14ac:dyDescent="0.25">
      <c r="A655">
        <v>655</v>
      </c>
      <c r="B655" t="s">
        <v>861</v>
      </c>
    </row>
    <row r="656" ht="15" customHeight="1" spans="1:2" x14ac:dyDescent="0.25">
      <c r="A656">
        <v>656</v>
      </c>
      <c r="B656" t="s">
        <v>862</v>
      </c>
    </row>
    <row r="657" ht="15" customHeight="1" spans="1:2" x14ac:dyDescent="0.25">
      <c r="A657">
        <v>657</v>
      </c>
      <c r="B657" t="s">
        <v>863</v>
      </c>
    </row>
    <row r="658" ht="15" customHeight="1" spans="1:2" x14ac:dyDescent="0.25">
      <c r="A658">
        <v>658</v>
      </c>
      <c r="B658" t="s">
        <v>864</v>
      </c>
    </row>
    <row r="659" ht="15" customHeight="1" spans="1:2" x14ac:dyDescent="0.25">
      <c r="A659">
        <v>659</v>
      </c>
      <c r="B659" t="s">
        <v>865</v>
      </c>
    </row>
    <row r="660" ht="15" customHeight="1" spans="1:2" x14ac:dyDescent="0.25">
      <c r="A660">
        <v>660</v>
      </c>
      <c r="B660" t="s">
        <v>866</v>
      </c>
    </row>
    <row r="661" ht="15" customHeight="1" spans="1:2" x14ac:dyDescent="0.25">
      <c r="A661">
        <v>661</v>
      </c>
      <c r="B661" t="s">
        <v>867</v>
      </c>
    </row>
    <row r="662" ht="15" customHeight="1" spans="1:2" x14ac:dyDescent="0.25">
      <c r="A662">
        <v>662</v>
      </c>
      <c r="B662" t="s">
        <v>868</v>
      </c>
    </row>
    <row r="663" ht="15" customHeight="1" spans="1:2" x14ac:dyDescent="0.25">
      <c r="A663">
        <v>663</v>
      </c>
      <c r="B663" t="s">
        <v>869</v>
      </c>
    </row>
    <row r="664" ht="15" customHeight="1" spans="1:2" x14ac:dyDescent="0.25">
      <c r="A664">
        <v>664</v>
      </c>
      <c r="B664" t="s">
        <v>870</v>
      </c>
    </row>
    <row r="665" ht="15" customHeight="1" spans="1:2" x14ac:dyDescent="0.25">
      <c r="A665">
        <v>665</v>
      </c>
      <c r="B665" t="s">
        <v>871</v>
      </c>
    </row>
    <row r="666" ht="15" customHeight="1" spans="1:2" x14ac:dyDescent="0.25">
      <c r="A666">
        <v>666</v>
      </c>
      <c r="B666" t="s">
        <v>872</v>
      </c>
    </row>
    <row r="667" ht="15" customHeight="1" spans="1:2" x14ac:dyDescent="0.25">
      <c r="A667">
        <v>667</v>
      </c>
      <c r="B667" t="s">
        <v>873</v>
      </c>
    </row>
    <row r="668" ht="15" customHeight="1" spans="1:2" x14ac:dyDescent="0.25">
      <c r="A668">
        <v>668</v>
      </c>
      <c r="B668" t="s">
        <v>874</v>
      </c>
    </row>
    <row r="669" ht="15" customHeight="1" spans="1:2" x14ac:dyDescent="0.25">
      <c r="A669">
        <v>669</v>
      </c>
      <c r="B669" t="s">
        <v>875</v>
      </c>
    </row>
    <row r="670" ht="15" customHeight="1" spans="1:2" x14ac:dyDescent="0.25">
      <c r="A670">
        <v>670</v>
      </c>
      <c r="B670" t="s">
        <v>876</v>
      </c>
    </row>
    <row r="671" ht="15" customHeight="1" spans="1:2" x14ac:dyDescent="0.25">
      <c r="A671">
        <v>671</v>
      </c>
      <c r="B671" t="s">
        <v>877</v>
      </c>
    </row>
    <row r="672" ht="15" customHeight="1" spans="1:2" x14ac:dyDescent="0.25">
      <c r="A672">
        <v>672</v>
      </c>
      <c r="B672" t="s">
        <v>878</v>
      </c>
    </row>
    <row r="673" ht="15" customHeight="1" spans="1:2" x14ac:dyDescent="0.25">
      <c r="A673">
        <v>673</v>
      </c>
      <c r="B673" t="s">
        <v>879</v>
      </c>
    </row>
    <row r="674" ht="15" customHeight="1" spans="1:2" x14ac:dyDescent="0.25">
      <c r="A674">
        <v>674</v>
      </c>
      <c r="B674" t="s">
        <v>880</v>
      </c>
    </row>
    <row r="675" ht="15" customHeight="1" spans="1:2" x14ac:dyDescent="0.25">
      <c r="A675">
        <v>675</v>
      </c>
      <c r="B675" t="s">
        <v>881</v>
      </c>
    </row>
    <row r="676" ht="15" customHeight="1" spans="1:2" x14ac:dyDescent="0.25">
      <c r="A676">
        <v>676</v>
      </c>
      <c r="B676" t="s">
        <v>882</v>
      </c>
    </row>
    <row r="677" ht="15" customHeight="1" spans="1:2" x14ac:dyDescent="0.25">
      <c r="A677">
        <v>677</v>
      </c>
      <c r="B677" t="s">
        <v>883</v>
      </c>
    </row>
    <row r="678" ht="15" customHeight="1" spans="1:2" x14ac:dyDescent="0.25">
      <c r="A678">
        <v>678</v>
      </c>
      <c r="B678" t="s">
        <v>884</v>
      </c>
    </row>
    <row r="679" ht="15" customHeight="1" spans="1:2" x14ac:dyDescent="0.25">
      <c r="A679">
        <v>679</v>
      </c>
      <c r="B679" t="s">
        <v>885</v>
      </c>
    </row>
    <row r="680" ht="15" customHeight="1" spans="1:2" x14ac:dyDescent="0.25">
      <c r="A680">
        <v>680</v>
      </c>
      <c r="B680" t="s">
        <v>886</v>
      </c>
    </row>
    <row r="681" ht="15" customHeight="1" spans="1:2" x14ac:dyDescent="0.25">
      <c r="A681">
        <v>681</v>
      </c>
      <c r="B681" t="s">
        <v>887</v>
      </c>
    </row>
    <row r="682" ht="15" customHeight="1" spans="1:2" x14ac:dyDescent="0.25">
      <c r="A682">
        <v>682</v>
      </c>
      <c r="B682" t="s">
        <v>888</v>
      </c>
    </row>
    <row r="683" ht="15" customHeight="1" spans="1:2" x14ac:dyDescent="0.25">
      <c r="A683">
        <v>683</v>
      </c>
      <c r="B683" t="s">
        <v>889</v>
      </c>
    </row>
    <row r="684" ht="15" customHeight="1" spans="1:2" x14ac:dyDescent="0.25">
      <c r="A684">
        <v>684</v>
      </c>
      <c r="B684" t="s">
        <v>890</v>
      </c>
    </row>
    <row r="685" ht="15" customHeight="1" spans="1:2" x14ac:dyDescent="0.25">
      <c r="A685">
        <v>685</v>
      </c>
      <c r="B685" t="s">
        <v>891</v>
      </c>
    </row>
    <row r="686" ht="15" customHeight="1" spans="1:2" x14ac:dyDescent="0.25">
      <c r="A686">
        <v>686</v>
      </c>
      <c r="B686" t="s">
        <v>892</v>
      </c>
    </row>
    <row r="687" ht="15" customHeight="1" spans="1:2" x14ac:dyDescent="0.25">
      <c r="A687">
        <v>687</v>
      </c>
      <c r="B687" t="s">
        <v>893</v>
      </c>
    </row>
    <row r="688" ht="15" customHeight="1" spans="1:2" x14ac:dyDescent="0.25">
      <c r="A688">
        <v>688</v>
      </c>
      <c r="B688" t="s">
        <v>894</v>
      </c>
    </row>
    <row r="689" ht="15" customHeight="1" spans="1:2" x14ac:dyDescent="0.25">
      <c r="A689">
        <v>689</v>
      </c>
      <c r="B689" t="s">
        <v>895</v>
      </c>
    </row>
    <row r="690" ht="15" customHeight="1" spans="1:2" x14ac:dyDescent="0.25">
      <c r="A690">
        <v>690</v>
      </c>
      <c r="B690" t="s">
        <v>896</v>
      </c>
    </row>
    <row r="691" ht="15" customHeight="1" spans="1:2" x14ac:dyDescent="0.25">
      <c r="A691">
        <v>691</v>
      </c>
      <c r="B691" t="s">
        <v>897</v>
      </c>
    </row>
    <row r="692" ht="15" customHeight="1" spans="1:2" x14ac:dyDescent="0.25">
      <c r="A692">
        <v>692</v>
      </c>
      <c r="B692" t="s">
        <v>898</v>
      </c>
    </row>
    <row r="693" ht="15" customHeight="1" spans="1:2" x14ac:dyDescent="0.25">
      <c r="A693">
        <v>693</v>
      </c>
      <c r="B693" t="s">
        <v>899</v>
      </c>
    </row>
    <row r="694" ht="15" customHeight="1" spans="1:2" x14ac:dyDescent="0.25">
      <c r="A694">
        <v>694</v>
      </c>
      <c r="B694" t="s">
        <v>900</v>
      </c>
    </row>
    <row r="695" ht="15" customHeight="1" spans="1:2" x14ac:dyDescent="0.25">
      <c r="A695">
        <v>695</v>
      </c>
      <c r="B695" t="s">
        <v>901</v>
      </c>
    </row>
    <row r="696" ht="15" customHeight="1" spans="1:2" x14ac:dyDescent="0.25">
      <c r="A696">
        <v>696</v>
      </c>
      <c r="B696" t="s">
        <v>902</v>
      </c>
    </row>
    <row r="697" ht="15" customHeight="1" spans="1:2" x14ac:dyDescent="0.25">
      <c r="A697">
        <v>697</v>
      </c>
      <c r="B697" t="s">
        <v>903</v>
      </c>
    </row>
    <row r="698" ht="15" customHeight="1" spans="1:2" x14ac:dyDescent="0.25">
      <c r="A698">
        <v>698</v>
      </c>
      <c r="B698" t="s">
        <v>904</v>
      </c>
    </row>
    <row r="699" ht="15" customHeight="1" spans="1:2" x14ac:dyDescent="0.25">
      <c r="A699">
        <v>699</v>
      </c>
      <c r="B699" t="s">
        <v>905</v>
      </c>
    </row>
    <row r="700" ht="15" customHeight="1" spans="1:2" x14ac:dyDescent="0.25">
      <c r="A700">
        <v>700</v>
      </c>
      <c r="B700" t="s">
        <v>906</v>
      </c>
    </row>
    <row r="701" ht="15" customHeight="1" spans="1:2" x14ac:dyDescent="0.25">
      <c r="A701">
        <v>701</v>
      </c>
      <c r="B701" t="s">
        <v>907</v>
      </c>
    </row>
    <row r="702" ht="15" customHeight="1" spans="1:2" x14ac:dyDescent="0.25">
      <c r="A702">
        <v>702</v>
      </c>
      <c r="B702" t="s">
        <v>908</v>
      </c>
    </row>
    <row r="703" ht="15" customHeight="1" spans="1:2" x14ac:dyDescent="0.25">
      <c r="A703">
        <v>703</v>
      </c>
      <c r="B703" t="s">
        <v>909</v>
      </c>
    </row>
    <row r="704" ht="15" customHeight="1" spans="1:2" x14ac:dyDescent="0.25">
      <c r="A704">
        <v>704</v>
      </c>
      <c r="B704" t="s">
        <v>910</v>
      </c>
    </row>
    <row r="705" ht="15" customHeight="1" spans="1:2" x14ac:dyDescent="0.25">
      <c r="A705">
        <v>705</v>
      </c>
      <c r="B705" t="s">
        <v>911</v>
      </c>
    </row>
    <row r="706" ht="15" customHeight="1" spans="1:2" x14ac:dyDescent="0.25">
      <c r="A706">
        <v>706</v>
      </c>
      <c r="B706" t="s">
        <v>912</v>
      </c>
    </row>
    <row r="707" ht="15" customHeight="1" spans="1:2" x14ac:dyDescent="0.25">
      <c r="A707">
        <v>707</v>
      </c>
      <c r="B707" t="s">
        <v>913</v>
      </c>
    </row>
    <row r="708" ht="15" customHeight="1" spans="1:2" x14ac:dyDescent="0.25">
      <c r="A708">
        <v>708</v>
      </c>
      <c r="B708" t="s">
        <v>914</v>
      </c>
    </row>
    <row r="709" ht="15" customHeight="1" spans="1:2" x14ac:dyDescent="0.25">
      <c r="A709">
        <v>709</v>
      </c>
      <c r="B709" t="s">
        <v>915</v>
      </c>
    </row>
    <row r="710" ht="15" customHeight="1" spans="1:2" x14ac:dyDescent="0.25">
      <c r="A710">
        <v>710</v>
      </c>
      <c r="B710" t="s">
        <v>916</v>
      </c>
    </row>
    <row r="711" ht="15" customHeight="1" spans="1:2" x14ac:dyDescent="0.25">
      <c r="A711">
        <v>711</v>
      </c>
      <c r="B711" t="s">
        <v>917</v>
      </c>
    </row>
    <row r="712" ht="15" customHeight="1" spans="1:2" x14ac:dyDescent="0.25">
      <c r="A712">
        <v>712</v>
      </c>
      <c r="B712" t="s">
        <v>918</v>
      </c>
    </row>
    <row r="713" ht="15" customHeight="1" spans="1:2" x14ac:dyDescent="0.25">
      <c r="A713">
        <v>713</v>
      </c>
      <c r="B713" t="s">
        <v>919</v>
      </c>
    </row>
    <row r="714" ht="15" customHeight="1" spans="1:2" x14ac:dyDescent="0.25">
      <c r="A714">
        <v>714</v>
      </c>
      <c r="B714" t="s">
        <v>920</v>
      </c>
    </row>
    <row r="715" ht="15" customHeight="1" spans="1:2" x14ac:dyDescent="0.25">
      <c r="A715">
        <v>715</v>
      </c>
      <c r="B715" t="s">
        <v>921</v>
      </c>
    </row>
    <row r="716" ht="15" customHeight="1" spans="1:2" x14ac:dyDescent="0.25">
      <c r="A716">
        <v>716</v>
      </c>
      <c r="B716" t="s">
        <v>922</v>
      </c>
    </row>
    <row r="717" ht="15" customHeight="1" spans="1:2" x14ac:dyDescent="0.25">
      <c r="A717">
        <v>717</v>
      </c>
      <c r="B717" t="s">
        <v>923</v>
      </c>
    </row>
    <row r="718" ht="15" customHeight="1" spans="1:2" x14ac:dyDescent="0.25">
      <c r="A718">
        <v>718</v>
      </c>
      <c r="B718" t="s">
        <v>924</v>
      </c>
    </row>
    <row r="719" ht="15" customHeight="1" spans="1:2" x14ac:dyDescent="0.25">
      <c r="A719">
        <v>719</v>
      </c>
      <c r="B719" t="s">
        <v>925</v>
      </c>
    </row>
    <row r="720" ht="15" customHeight="1" spans="1:2" x14ac:dyDescent="0.25">
      <c r="A720">
        <v>720</v>
      </c>
      <c r="B720" t="s">
        <v>926</v>
      </c>
    </row>
    <row r="721" ht="15" customHeight="1" spans="1:2" x14ac:dyDescent="0.25">
      <c r="A721">
        <v>721</v>
      </c>
      <c r="B721" t="s">
        <v>927</v>
      </c>
    </row>
    <row r="722" ht="15" customHeight="1" spans="1:2" x14ac:dyDescent="0.25">
      <c r="A722">
        <v>722</v>
      </c>
      <c r="B722" t="s">
        <v>928</v>
      </c>
    </row>
    <row r="723" ht="15" customHeight="1" spans="1:2" x14ac:dyDescent="0.25">
      <c r="A723">
        <v>723</v>
      </c>
      <c r="B723" t="s">
        <v>929</v>
      </c>
    </row>
    <row r="724" ht="15" customHeight="1" spans="1:2" x14ac:dyDescent="0.25">
      <c r="A724">
        <v>724</v>
      </c>
      <c r="B724" t="s">
        <v>930</v>
      </c>
    </row>
    <row r="725" ht="15" customHeight="1" spans="1:2" x14ac:dyDescent="0.25">
      <c r="A725">
        <v>725</v>
      </c>
      <c r="B725" t="s">
        <v>931</v>
      </c>
    </row>
    <row r="726" ht="15" customHeight="1" spans="1:2" x14ac:dyDescent="0.25">
      <c r="A726">
        <v>726</v>
      </c>
      <c r="B726" t="s">
        <v>932</v>
      </c>
    </row>
    <row r="727" ht="15" customHeight="1" spans="1:2" x14ac:dyDescent="0.25">
      <c r="A727">
        <v>727</v>
      </c>
      <c r="B727" t="s">
        <v>933</v>
      </c>
    </row>
    <row r="728" ht="15" customHeight="1" spans="1:2" x14ac:dyDescent="0.25">
      <c r="A728">
        <v>728</v>
      </c>
      <c r="B728" t="s">
        <v>934</v>
      </c>
    </row>
    <row r="729" ht="15" customHeight="1" spans="1:2" x14ac:dyDescent="0.25">
      <c r="A729">
        <v>729</v>
      </c>
      <c r="B729" t="s">
        <v>935</v>
      </c>
    </row>
    <row r="730" ht="15" customHeight="1" spans="1:2" x14ac:dyDescent="0.25">
      <c r="A730">
        <v>730</v>
      </c>
      <c r="B730" t="s">
        <v>936</v>
      </c>
    </row>
    <row r="731" ht="15" customHeight="1" spans="1:2" x14ac:dyDescent="0.25">
      <c r="A731">
        <v>731</v>
      </c>
      <c r="B731" t="s">
        <v>937</v>
      </c>
    </row>
    <row r="732" ht="15" customHeight="1" spans="1:2" x14ac:dyDescent="0.25">
      <c r="A732">
        <v>732</v>
      </c>
      <c r="B732" t="s">
        <v>938</v>
      </c>
    </row>
    <row r="733" ht="15" customHeight="1" spans="1:2" x14ac:dyDescent="0.25">
      <c r="A733">
        <v>733</v>
      </c>
      <c r="B733" t="s">
        <v>939</v>
      </c>
    </row>
    <row r="734" ht="15" customHeight="1" spans="1:2" x14ac:dyDescent="0.25">
      <c r="A734">
        <v>734</v>
      </c>
      <c r="B734" t="s">
        <v>940</v>
      </c>
    </row>
    <row r="735" ht="15" customHeight="1" spans="1:2" x14ac:dyDescent="0.25">
      <c r="A735">
        <v>735</v>
      </c>
      <c r="B735" t="s">
        <v>941</v>
      </c>
    </row>
    <row r="736" ht="15" customHeight="1" spans="1:2" x14ac:dyDescent="0.25">
      <c r="A736">
        <v>736</v>
      </c>
      <c r="B736" t="s">
        <v>942</v>
      </c>
    </row>
    <row r="737" ht="15" customHeight="1" spans="1:2" x14ac:dyDescent="0.25">
      <c r="A737">
        <v>737</v>
      </c>
      <c r="B737" t="s">
        <v>943</v>
      </c>
    </row>
    <row r="738" ht="15" customHeight="1" spans="1:2" x14ac:dyDescent="0.25">
      <c r="A738">
        <v>738</v>
      </c>
      <c r="B738" t="s">
        <v>944</v>
      </c>
    </row>
    <row r="739" ht="15" customHeight="1" spans="1:2" x14ac:dyDescent="0.25">
      <c r="A739">
        <v>739</v>
      </c>
      <c r="B739" t="s">
        <v>945</v>
      </c>
    </row>
    <row r="740" ht="15" customHeight="1" spans="1:2" x14ac:dyDescent="0.25">
      <c r="A740">
        <v>740</v>
      </c>
      <c r="B740" t="s">
        <v>946</v>
      </c>
    </row>
    <row r="741" ht="15" customHeight="1" spans="1:2" x14ac:dyDescent="0.25">
      <c r="A741">
        <v>741</v>
      </c>
      <c r="B741" t="s">
        <v>947</v>
      </c>
    </row>
    <row r="742" ht="15" customHeight="1" spans="1:2" x14ac:dyDescent="0.25">
      <c r="A742">
        <v>742</v>
      </c>
      <c r="B742" t="s">
        <v>948</v>
      </c>
    </row>
    <row r="743" ht="15" customHeight="1" spans="1:2" x14ac:dyDescent="0.25">
      <c r="A743">
        <v>743</v>
      </c>
      <c r="B743" t="s">
        <v>949</v>
      </c>
    </row>
    <row r="744" ht="15" customHeight="1" spans="1:2" x14ac:dyDescent="0.25">
      <c r="A744">
        <v>744</v>
      </c>
      <c r="B744" t="s">
        <v>950</v>
      </c>
    </row>
    <row r="745" ht="15" customHeight="1" spans="1:2" x14ac:dyDescent="0.25">
      <c r="A745">
        <v>745</v>
      </c>
      <c r="B745" t="s">
        <v>951</v>
      </c>
    </row>
    <row r="746" ht="15" customHeight="1" spans="1:2" x14ac:dyDescent="0.25">
      <c r="A746">
        <v>746</v>
      </c>
      <c r="B746" t="s">
        <v>952</v>
      </c>
    </row>
    <row r="747" ht="15" customHeight="1" spans="1:2" x14ac:dyDescent="0.25">
      <c r="A747">
        <v>747</v>
      </c>
      <c r="B747" t="s">
        <v>953</v>
      </c>
    </row>
    <row r="748" ht="15" customHeight="1" spans="1:2" x14ac:dyDescent="0.25">
      <c r="A748">
        <v>748</v>
      </c>
      <c r="B748" t="s">
        <v>954</v>
      </c>
    </row>
    <row r="749" ht="15" customHeight="1" spans="1:2" x14ac:dyDescent="0.25">
      <c r="A749">
        <v>749</v>
      </c>
      <c r="B749" t="s">
        <v>955</v>
      </c>
    </row>
    <row r="750" ht="15" customHeight="1" spans="1:2" x14ac:dyDescent="0.25">
      <c r="A750">
        <v>750</v>
      </c>
      <c r="B750" t="s">
        <v>956</v>
      </c>
    </row>
    <row r="751" ht="15" customHeight="1" spans="1:2" x14ac:dyDescent="0.25">
      <c r="A751">
        <v>751</v>
      </c>
      <c r="B751" t="s">
        <v>957</v>
      </c>
    </row>
    <row r="752" ht="15" customHeight="1" spans="1:2" x14ac:dyDescent="0.25">
      <c r="A752">
        <v>752</v>
      </c>
      <c r="B752" t="s">
        <v>958</v>
      </c>
    </row>
    <row r="753" ht="15" customHeight="1" spans="1:2" x14ac:dyDescent="0.25">
      <c r="A753">
        <v>753</v>
      </c>
      <c r="B753" t="s">
        <v>959</v>
      </c>
    </row>
    <row r="754" ht="15" customHeight="1" spans="1:2" x14ac:dyDescent="0.25">
      <c r="A754">
        <v>754</v>
      </c>
      <c r="B754" t="s">
        <v>960</v>
      </c>
    </row>
    <row r="755" ht="15" customHeight="1" spans="1:2" x14ac:dyDescent="0.25">
      <c r="A755">
        <v>755</v>
      </c>
      <c r="B755" t="s">
        <v>961</v>
      </c>
    </row>
    <row r="756" ht="15" customHeight="1" spans="1:2" x14ac:dyDescent="0.25">
      <c r="A756">
        <v>756</v>
      </c>
      <c r="B756" t="s">
        <v>962</v>
      </c>
    </row>
    <row r="757" ht="15" customHeight="1" spans="1:2" x14ac:dyDescent="0.25">
      <c r="A757">
        <v>757</v>
      </c>
      <c r="B757" t="s">
        <v>963</v>
      </c>
    </row>
    <row r="758" ht="15" customHeight="1" spans="1:2" x14ac:dyDescent="0.25">
      <c r="A758">
        <v>758</v>
      </c>
      <c r="B758" t="s">
        <v>964</v>
      </c>
    </row>
    <row r="759" ht="15" customHeight="1" spans="1:2" x14ac:dyDescent="0.25">
      <c r="A759">
        <v>759</v>
      </c>
      <c r="B759" t="s">
        <v>965</v>
      </c>
    </row>
    <row r="760" ht="15" customHeight="1" spans="1:2" x14ac:dyDescent="0.25">
      <c r="A760">
        <v>760</v>
      </c>
      <c r="B760" t="s">
        <v>966</v>
      </c>
    </row>
    <row r="761" ht="15" customHeight="1" spans="1:2" x14ac:dyDescent="0.25">
      <c r="A761">
        <v>761</v>
      </c>
      <c r="B761" t="s">
        <v>967</v>
      </c>
    </row>
    <row r="762" ht="15" customHeight="1" spans="1:2" x14ac:dyDescent="0.25">
      <c r="A762">
        <v>762</v>
      </c>
      <c r="B762" t="s">
        <v>968</v>
      </c>
    </row>
    <row r="763" ht="15" customHeight="1" spans="1:2" x14ac:dyDescent="0.25">
      <c r="A763">
        <v>763</v>
      </c>
      <c r="B763" t="s">
        <v>969</v>
      </c>
    </row>
    <row r="764" ht="15" customHeight="1" spans="1:2" x14ac:dyDescent="0.25">
      <c r="A764">
        <v>764</v>
      </c>
      <c r="B764" t="s">
        <v>970</v>
      </c>
    </row>
    <row r="765" ht="15" customHeight="1" spans="1:2" x14ac:dyDescent="0.25">
      <c r="A765">
        <v>765</v>
      </c>
      <c r="B765" t="s">
        <v>971</v>
      </c>
    </row>
    <row r="766" ht="15" customHeight="1" spans="1:2" x14ac:dyDescent="0.25">
      <c r="A766">
        <v>766</v>
      </c>
      <c r="B766" t="s">
        <v>972</v>
      </c>
    </row>
    <row r="767" ht="15" customHeight="1" spans="1:2" x14ac:dyDescent="0.25">
      <c r="A767">
        <v>767</v>
      </c>
      <c r="B767" t="s">
        <v>973</v>
      </c>
    </row>
    <row r="768" ht="15" customHeight="1" spans="1:2" x14ac:dyDescent="0.25">
      <c r="A768">
        <v>768</v>
      </c>
      <c r="B768" t="s">
        <v>974</v>
      </c>
    </row>
    <row r="769" ht="15" customHeight="1" spans="1:2" x14ac:dyDescent="0.25">
      <c r="A769">
        <v>769</v>
      </c>
      <c r="B769" t="s">
        <v>975</v>
      </c>
    </row>
    <row r="770" ht="15" customHeight="1" spans="1:2" x14ac:dyDescent="0.25">
      <c r="A770">
        <v>770</v>
      </c>
      <c r="B770" t="s">
        <v>976</v>
      </c>
    </row>
    <row r="771" ht="15" customHeight="1" spans="1:2" x14ac:dyDescent="0.25">
      <c r="A771">
        <v>771</v>
      </c>
      <c r="B771" t="s">
        <v>977</v>
      </c>
    </row>
    <row r="772" ht="15" customHeight="1" spans="1:2" x14ac:dyDescent="0.25">
      <c r="A772">
        <v>772</v>
      </c>
      <c r="B772" t="s">
        <v>978</v>
      </c>
    </row>
    <row r="773" ht="15" customHeight="1" spans="1:2" x14ac:dyDescent="0.25">
      <c r="A773">
        <v>773</v>
      </c>
      <c r="B773" t="s">
        <v>979</v>
      </c>
    </row>
    <row r="774" ht="15" customHeight="1" spans="1:2" x14ac:dyDescent="0.25">
      <c r="A774">
        <v>774</v>
      </c>
      <c r="B774" t="s">
        <v>980</v>
      </c>
    </row>
    <row r="775" ht="15" customHeight="1" spans="1:2" x14ac:dyDescent="0.25">
      <c r="A775">
        <v>775</v>
      </c>
      <c r="B775" t="s">
        <v>981</v>
      </c>
    </row>
    <row r="776" ht="15" customHeight="1" spans="1:2" x14ac:dyDescent="0.25">
      <c r="A776">
        <v>776</v>
      </c>
      <c r="B776" t="s">
        <v>982</v>
      </c>
    </row>
    <row r="777" ht="15" customHeight="1" spans="1:2" x14ac:dyDescent="0.25">
      <c r="A777">
        <v>777</v>
      </c>
      <c r="B777" t="s">
        <v>983</v>
      </c>
    </row>
    <row r="778" ht="15" customHeight="1" spans="1:2" x14ac:dyDescent="0.25">
      <c r="A778">
        <v>778</v>
      </c>
      <c r="B778" t="s">
        <v>984</v>
      </c>
    </row>
    <row r="779" ht="15" customHeight="1" spans="1:2" x14ac:dyDescent="0.25">
      <c r="A779">
        <v>779</v>
      </c>
      <c r="B779" t="s">
        <v>985</v>
      </c>
    </row>
    <row r="780" ht="15" customHeight="1" spans="1:2" x14ac:dyDescent="0.25">
      <c r="A780">
        <v>780</v>
      </c>
      <c r="B780" t="s">
        <v>986</v>
      </c>
    </row>
    <row r="781" ht="15" customHeight="1" spans="1:2" x14ac:dyDescent="0.25">
      <c r="A781">
        <v>781</v>
      </c>
      <c r="B781" t="s">
        <v>987</v>
      </c>
    </row>
    <row r="782" ht="15" customHeight="1" spans="1:2" x14ac:dyDescent="0.25">
      <c r="A782">
        <v>782</v>
      </c>
      <c r="B782" t="s">
        <v>988</v>
      </c>
    </row>
    <row r="783" ht="15" customHeight="1" spans="1:2" x14ac:dyDescent="0.25">
      <c r="A783">
        <v>783</v>
      </c>
      <c r="B783" t="s">
        <v>989</v>
      </c>
    </row>
    <row r="784" ht="15" customHeight="1" spans="1:2" x14ac:dyDescent="0.25">
      <c r="A784">
        <v>784</v>
      </c>
      <c r="B784" t="s">
        <v>990</v>
      </c>
    </row>
    <row r="785" ht="15" customHeight="1" spans="1:2" x14ac:dyDescent="0.25">
      <c r="A785">
        <v>785</v>
      </c>
      <c r="B785" t="s">
        <v>991</v>
      </c>
    </row>
    <row r="786" ht="15" customHeight="1" spans="1:2" x14ac:dyDescent="0.25">
      <c r="A786">
        <v>786</v>
      </c>
      <c r="B786" t="s">
        <v>992</v>
      </c>
    </row>
    <row r="787" ht="15" customHeight="1" spans="1:2" x14ac:dyDescent="0.25">
      <c r="A787">
        <v>787</v>
      </c>
      <c r="B787" t="s">
        <v>993</v>
      </c>
    </row>
    <row r="788" ht="15" customHeight="1" spans="1:2" x14ac:dyDescent="0.25">
      <c r="A788">
        <v>788</v>
      </c>
      <c r="B788" t="s">
        <v>994</v>
      </c>
    </row>
    <row r="789" ht="15" customHeight="1" spans="1:2" x14ac:dyDescent="0.25">
      <c r="A789">
        <v>789</v>
      </c>
      <c r="B789" t="s">
        <v>995</v>
      </c>
    </row>
    <row r="790" ht="15" customHeight="1" spans="1:2" x14ac:dyDescent="0.25">
      <c r="A790">
        <v>790</v>
      </c>
      <c r="B790" t="s">
        <v>996</v>
      </c>
    </row>
    <row r="791" ht="15" customHeight="1" spans="1:2" x14ac:dyDescent="0.25">
      <c r="A791">
        <v>791</v>
      </c>
      <c r="B791" t="s">
        <v>997</v>
      </c>
    </row>
    <row r="792" ht="15" customHeight="1" spans="1:2" x14ac:dyDescent="0.25">
      <c r="A792">
        <v>792</v>
      </c>
      <c r="B792" t="s">
        <v>998</v>
      </c>
    </row>
    <row r="793" ht="15" customHeight="1" spans="1:2" x14ac:dyDescent="0.25">
      <c r="A793">
        <v>793</v>
      </c>
      <c r="B793" t="s">
        <v>999</v>
      </c>
    </row>
    <row r="794" ht="15" customHeight="1" spans="1:2" x14ac:dyDescent="0.25">
      <c r="A794">
        <v>794</v>
      </c>
      <c r="B794" t="s">
        <v>1000</v>
      </c>
    </row>
    <row r="795" ht="15" customHeight="1" spans="1:2" x14ac:dyDescent="0.25">
      <c r="A795">
        <v>795</v>
      </c>
      <c r="B795" t="s">
        <v>1001</v>
      </c>
    </row>
    <row r="796" ht="15" customHeight="1" spans="1:2" x14ac:dyDescent="0.25">
      <c r="A796">
        <v>796</v>
      </c>
      <c r="B796" t="s">
        <v>1002</v>
      </c>
    </row>
    <row r="797" ht="15" customHeight="1" spans="1:2" x14ac:dyDescent="0.25">
      <c r="A797">
        <v>797</v>
      </c>
      <c r="B797" t="s">
        <v>1003</v>
      </c>
    </row>
    <row r="798" ht="15" customHeight="1" spans="1:2" x14ac:dyDescent="0.25">
      <c r="A798">
        <v>798</v>
      </c>
      <c r="B798" t="s">
        <v>1004</v>
      </c>
    </row>
    <row r="799" ht="15" customHeight="1" spans="1:2" x14ac:dyDescent="0.25">
      <c r="A799">
        <v>799</v>
      </c>
      <c r="B799" t="s">
        <v>1005</v>
      </c>
    </row>
    <row r="800" ht="15" customHeight="1" spans="1:2" x14ac:dyDescent="0.25">
      <c r="A800">
        <v>800</v>
      </c>
      <c r="B800" t="s">
        <v>1006</v>
      </c>
    </row>
    <row r="801" ht="15" customHeight="1" spans="1:2" x14ac:dyDescent="0.25">
      <c r="A801">
        <v>801</v>
      </c>
      <c r="B801" t="s">
        <v>1007</v>
      </c>
    </row>
    <row r="802" ht="15" customHeight="1" spans="1:2" x14ac:dyDescent="0.25">
      <c r="A802">
        <v>802</v>
      </c>
      <c r="B802" t="s">
        <v>1008</v>
      </c>
    </row>
    <row r="803" ht="15" customHeight="1" spans="1:2" x14ac:dyDescent="0.25">
      <c r="A803">
        <v>803</v>
      </c>
      <c r="B803" t="s">
        <v>1009</v>
      </c>
    </row>
    <row r="804" ht="15" customHeight="1" spans="1:2" x14ac:dyDescent="0.25">
      <c r="A804">
        <v>804</v>
      </c>
      <c r="B804" t="s">
        <v>1010</v>
      </c>
    </row>
    <row r="805" ht="15" customHeight="1" spans="1:2" x14ac:dyDescent="0.25">
      <c r="A805">
        <v>805</v>
      </c>
      <c r="B805" t="s">
        <v>1011</v>
      </c>
    </row>
    <row r="806" ht="15" customHeight="1" spans="1:2" x14ac:dyDescent="0.25">
      <c r="A806">
        <v>806</v>
      </c>
      <c r="B806" t="s">
        <v>1012</v>
      </c>
    </row>
    <row r="807" ht="15" customHeight="1" spans="1:2" x14ac:dyDescent="0.25">
      <c r="A807">
        <v>807</v>
      </c>
      <c r="B807" t="s">
        <v>1013</v>
      </c>
    </row>
    <row r="808" ht="15" customHeight="1" spans="1:2" x14ac:dyDescent="0.25">
      <c r="A808">
        <v>808</v>
      </c>
      <c r="B808" t="s">
        <v>1014</v>
      </c>
    </row>
    <row r="809" ht="15" customHeight="1" spans="1:2" x14ac:dyDescent="0.25">
      <c r="A809">
        <v>809</v>
      </c>
      <c r="B809" t="s">
        <v>1015</v>
      </c>
    </row>
    <row r="810" ht="15" customHeight="1" spans="1:2" x14ac:dyDescent="0.25">
      <c r="A810">
        <v>810</v>
      </c>
      <c r="B810" t="s">
        <v>1016</v>
      </c>
    </row>
    <row r="811" ht="15" customHeight="1" spans="1:2" x14ac:dyDescent="0.25">
      <c r="A811">
        <v>811</v>
      </c>
      <c r="B811" t="s">
        <v>1017</v>
      </c>
    </row>
    <row r="812" ht="15" customHeight="1" spans="1:2" x14ac:dyDescent="0.25">
      <c r="A812">
        <v>812</v>
      </c>
      <c r="B812" t="s">
        <v>1018</v>
      </c>
    </row>
    <row r="813" ht="15" customHeight="1" spans="1:2" x14ac:dyDescent="0.25">
      <c r="A813">
        <v>813</v>
      </c>
      <c r="B813" t="s">
        <v>1019</v>
      </c>
    </row>
    <row r="814" ht="15" customHeight="1" spans="1:2" x14ac:dyDescent="0.25">
      <c r="A814">
        <v>814</v>
      </c>
      <c r="B814" t="s">
        <v>1020</v>
      </c>
    </row>
    <row r="815" ht="15" customHeight="1" spans="1:2" x14ac:dyDescent="0.25">
      <c r="A815">
        <v>815</v>
      </c>
      <c r="B815" t="s">
        <v>1021</v>
      </c>
    </row>
    <row r="816" ht="15" customHeight="1" spans="1:2" x14ac:dyDescent="0.25">
      <c r="A816">
        <v>816</v>
      </c>
      <c r="B816" t="s">
        <v>1022</v>
      </c>
    </row>
    <row r="817" ht="15" customHeight="1" spans="1:2" x14ac:dyDescent="0.25">
      <c r="A817">
        <v>817</v>
      </c>
      <c r="B817" t="s">
        <v>1023</v>
      </c>
    </row>
    <row r="818" ht="15" customHeight="1" spans="1:2" x14ac:dyDescent="0.25">
      <c r="A818">
        <v>818</v>
      </c>
      <c r="B818" t="s">
        <v>1024</v>
      </c>
    </row>
    <row r="819" ht="15" customHeight="1" spans="1:2" x14ac:dyDescent="0.25">
      <c r="A819">
        <v>819</v>
      </c>
      <c r="B819" t="s">
        <v>1025</v>
      </c>
    </row>
    <row r="820" ht="15" customHeight="1" spans="1:2" x14ac:dyDescent="0.25">
      <c r="A820">
        <v>820</v>
      </c>
      <c r="B820" t="s">
        <v>1026</v>
      </c>
    </row>
    <row r="821" ht="15" customHeight="1" spans="1:2" x14ac:dyDescent="0.25">
      <c r="A821">
        <v>821</v>
      </c>
      <c r="B821" t="s">
        <v>1027</v>
      </c>
    </row>
    <row r="822" ht="15" customHeight="1" spans="1:2" x14ac:dyDescent="0.25">
      <c r="A822">
        <v>822</v>
      </c>
      <c r="B822" t="s">
        <v>1028</v>
      </c>
    </row>
    <row r="823" ht="15" customHeight="1" spans="1:2" x14ac:dyDescent="0.25">
      <c r="A823">
        <v>823</v>
      </c>
      <c r="B823" t="s">
        <v>1029</v>
      </c>
    </row>
    <row r="824" ht="15" customHeight="1" spans="1:2" x14ac:dyDescent="0.25">
      <c r="A824">
        <v>824</v>
      </c>
      <c r="B824" t="s">
        <v>1030</v>
      </c>
    </row>
    <row r="825" ht="15" customHeight="1" spans="1:2" x14ac:dyDescent="0.25">
      <c r="A825">
        <v>825</v>
      </c>
      <c r="B825" t="s">
        <v>1031</v>
      </c>
    </row>
    <row r="826" ht="15" customHeight="1" spans="1:2" x14ac:dyDescent="0.25">
      <c r="A826">
        <v>826</v>
      </c>
      <c r="B826" t="s">
        <v>1032</v>
      </c>
    </row>
    <row r="827" ht="15" customHeight="1" spans="1:2" x14ac:dyDescent="0.25">
      <c r="A827">
        <v>827</v>
      </c>
      <c r="B827" t="s">
        <v>1033</v>
      </c>
    </row>
    <row r="828" ht="15" customHeight="1" spans="1:2" x14ac:dyDescent="0.25">
      <c r="A828">
        <v>828</v>
      </c>
      <c r="B828" t="s">
        <v>1034</v>
      </c>
    </row>
    <row r="829" ht="15" customHeight="1" spans="1:2" x14ac:dyDescent="0.25">
      <c r="A829">
        <v>829</v>
      </c>
      <c r="B829" t="s">
        <v>1035</v>
      </c>
    </row>
    <row r="830" ht="15" customHeight="1" spans="1:2" x14ac:dyDescent="0.25">
      <c r="A830">
        <v>830</v>
      </c>
      <c r="B830" t="s">
        <v>1036</v>
      </c>
    </row>
    <row r="831" ht="15" customHeight="1" spans="1:2" x14ac:dyDescent="0.25">
      <c r="A831">
        <v>831</v>
      </c>
      <c r="B831" t="s">
        <v>1037</v>
      </c>
    </row>
    <row r="832" ht="15" customHeight="1" spans="1:2" x14ac:dyDescent="0.25">
      <c r="A832">
        <v>832</v>
      </c>
      <c r="B832" t="s">
        <v>1038</v>
      </c>
    </row>
    <row r="833" ht="15" customHeight="1" spans="1:2" x14ac:dyDescent="0.25">
      <c r="A833">
        <v>833</v>
      </c>
      <c r="B833" t="s">
        <v>1039</v>
      </c>
    </row>
    <row r="834" ht="15" customHeight="1" spans="1:2" x14ac:dyDescent="0.25">
      <c r="A834">
        <v>834</v>
      </c>
      <c r="B834" t="s">
        <v>1040</v>
      </c>
    </row>
    <row r="835" ht="15" customHeight="1" spans="1:2" x14ac:dyDescent="0.25">
      <c r="A835">
        <v>835</v>
      </c>
      <c r="B835" t="s">
        <v>1041</v>
      </c>
    </row>
    <row r="836" ht="15" customHeight="1" spans="1:2" x14ac:dyDescent="0.25">
      <c r="A836">
        <v>836</v>
      </c>
      <c r="B836" t="s">
        <v>1042</v>
      </c>
    </row>
    <row r="837" ht="15" customHeight="1" spans="1:2" x14ac:dyDescent="0.25">
      <c r="A837">
        <v>837</v>
      </c>
      <c r="B837" t="s">
        <v>1043</v>
      </c>
    </row>
    <row r="838" ht="15" customHeight="1" spans="1:2" x14ac:dyDescent="0.25">
      <c r="A838">
        <v>838</v>
      </c>
      <c r="B838" t="s">
        <v>1044</v>
      </c>
    </row>
    <row r="839" ht="15" customHeight="1" spans="1:2" x14ac:dyDescent="0.25">
      <c r="A839">
        <v>839</v>
      </c>
      <c r="B839" t="s">
        <v>1045</v>
      </c>
    </row>
    <row r="840" ht="15" customHeight="1" spans="1:2" x14ac:dyDescent="0.25">
      <c r="A840">
        <v>840</v>
      </c>
      <c r="B840" t="s">
        <v>1046</v>
      </c>
    </row>
    <row r="841" ht="15" customHeight="1" spans="1:2" x14ac:dyDescent="0.25">
      <c r="A841">
        <v>841</v>
      </c>
      <c r="B841" t="s">
        <v>1047</v>
      </c>
    </row>
    <row r="842" ht="15" customHeight="1" spans="1:2" x14ac:dyDescent="0.25">
      <c r="A842">
        <v>842</v>
      </c>
      <c r="B842" t="s">
        <v>1048</v>
      </c>
    </row>
    <row r="843" ht="15" customHeight="1" spans="1:2" x14ac:dyDescent="0.25">
      <c r="A843">
        <v>843</v>
      </c>
      <c r="B843" t="s">
        <v>1049</v>
      </c>
    </row>
    <row r="844" ht="15" customHeight="1" spans="1:2" x14ac:dyDescent="0.25">
      <c r="A844">
        <v>844</v>
      </c>
      <c r="B844" t="s">
        <v>1050</v>
      </c>
    </row>
    <row r="845" ht="15" customHeight="1" spans="1:2" x14ac:dyDescent="0.25">
      <c r="A845">
        <v>845</v>
      </c>
      <c r="B845" t="s">
        <v>1051</v>
      </c>
    </row>
    <row r="846" ht="15" customHeight="1" spans="1:2" x14ac:dyDescent="0.25">
      <c r="A846">
        <v>846</v>
      </c>
      <c r="B846" t="s">
        <v>1052</v>
      </c>
    </row>
    <row r="847" ht="15" customHeight="1" spans="1:2" x14ac:dyDescent="0.25">
      <c r="A847">
        <v>847</v>
      </c>
      <c r="B847" t="s">
        <v>1053</v>
      </c>
    </row>
    <row r="848" ht="15" customHeight="1" spans="1:2" x14ac:dyDescent="0.25">
      <c r="A848">
        <v>848</v>
      </c>
      <c r="B848" t="s">
        <v>1054</v>
      </c>
    </row>
    <row r="849" ht="15" customHeight="1" spans="1:2" x14ac:dyDescent="0.25">
      <c r="A849">
        <v>849</v>
      </c>
      <c r="B849" t="s">
        <v>1055</v>
      </c>
    </row>
    <row r="850" ht="15" customHeight="1" spans="1:2" x14ac:dyDescent="0.25">
      <c r="A850">
        <v>850</v>
      </c>
      <c r="B850" t="s">
        <v>1056</v>
      </c>
    </row>
    <row r="851" ht="15" customHeight="1" spans="1:2" x14ac:dyDescent="0.25">
      <c r="A851">
        <v>851</v>
      </c>
      <c r="B851" t="s">
        <v>1057</v>
      </c>
    </row>
    <row r="852" ht="15" customHeight="1" spans="1:2" x14ac:dyDescent="0.25">
      <c r="A852">
        <v>852</v>
      </c>
      <c r="B852" t="s">
        <v>1058</v>
      </c>
    </row>
    <row r="853" ht="15" customHeight="1" spans="1:2" x14ac:dyDescent="0.25">
      <c r="A853">
        <v>853</v>
      </c>
      <c r="B853" t="s">
        <v>1059</v>
      </c>
    </row>
    <row r="854" ht="15" customHeight="1" spans="1:2" x14ac:dyDescent="0.25">
      <c r="A854">
        <v>854</v>
      </c>
      <c r="B854" t="s">
        <v>1060</v>
      </c>
    </row>
    <row r="855" ht="15" customHeight="1" spans="1:2" x14ac:dyDescent="0.25">
      <c r="A855">
        <v>855</v>
      </c>
      <c r="B855" t="s">
        <v>1061</v>
      </c>
    </row>
    <row r="856" ht="15" customHeight="1" spans="1:2" x14ac:dyDescent="0.25">
      <c r="A856">
        <v>856</v>
      </c>
      <c r="B856" t="s">
        <v>1062</v>
      </c>
    </row>
    <row r="857" ht="15" customHeight="1" spans="1:2" x14ac:dyDescent="0.25">
      <c r="A857">
        <v>857</v>
      </c>
      <c r="B857" t="s">
        <v>1063</v>
      </c>
    </row>
    <row r="858" ht="15" customHeight="1" spans="1:2" x14ac:dyDescent="0.25">
      <c r="A858">
        <v>858</v>
      </c>
      <c r="B858" t="s">
        <v>1064</v>
      </c>
    </row>
    <row r="859" ht="15" customHeight="1" spans="1:2" x14ac:dyDescent="0.25">
      <c r="A859">
        <v>859</v>
      </c>
      <c r="B859" t="s">
        <v>1065</v>
      </c>
    </row>
    <row r="860" ht="15" customHeight="1" spans="1:2" x14ac:dyDescent="0.25">
      <c r="A860">
        <v>860</v>
      </c>
      <c r="B860" t="s">
        <v>1066</v>
      </c>
    </row>
    <row r="861" ht="15" customHeight="1" spans="1:2" x14ac:dyDescent="0.25">
      <c r="A861">
        <v>861</v>
      </c>
      <c r="B861" t="s">
        <v>1067</v>
      </c>
    </row>
    <row r="862" ht="15" customHeight="1" spans="1:2" x14ac:dyDescent="0.25">
      <c r="A862">
        <v>862</v>
      </c>
      <c r="B862" t="s">
        <v>1068</v>
      </c>
    </row>
    <row r="863" ht="15" customHeight="1" spans="1:2" x14ac:dyDescent="0.25">
      <c r="A863">
        <v>863</v>
      </c>
      <c r="B863" t="s">
        <v>1069</v>
      </c>
    </row>
    <row r="864" ht="15" customHeight="1" spans="1:2" x14ac:dyDescent="0.25">
      <c r="A864">
        <v>864</v>
      </c>
      <c r="B864" t="s">
        <v>1070</v>
      </c>
    </row>
    <row r="865" ht="15" customHeight="1" spans="1:2" x14ac:dyDescent="0.25">
      <c r="A865">
        <v>865</v>
      </c>
      <c r="B865" t="s">
        <v>1071</v>
      </c>
    </row>
    <row r="866" ht="15" customHeight="1" spans="1:2" x14ac:dyDescent="0.25">
      <c r="A866">
        <v>866</v>
      </c>
      <c r="B866" t="s">
        <v>1072</v>
      </c>
    </row>
    <row r="867" ht="15" customHeight="1" spans="1:2" x14ac:dyDescent="0.25">
      <c r="A867">
        <v>867</v>
      </c>
      <c r="B867" t="s">
        <v>1073</v>
      </c>
    </row>
    <row r="868" ht="15" customHeight="1" spans="1:2" x14ac:dyDescent="0.25">
      <c r="A868">
        <v>868</v>
      </c>
      <c r="B868" t="s">
        <v>1074</v>
      </c>
    </row>
    <row r="869" ht="15" customHeight="1" spans="1:2" x14ac:dyDescent="0.25">
      <c r="A869">
        <v>869</v>
      </c>
      <c r="B869" t="s">
        <v>1075</v>
      </c>
    </row>
    <row r="870" ht="15" customHeight="1" spans="1:2" x14ac:dyDescent="0.25">
      <c r="A870">
        <v>870</v>
      </c>
      <c r="B870" t="s">
        <v>1076</v>
      </c>
    </row>
    <row r="871" ht="15" customHeight="1" spans="1:2" x14ac:dyDescent="0.25">
      <c r="A871">
        <v>871</v>
      </c>
      <c r="B871" t="s">
        <v>1077</v>
      </c>
    </row>
    <row r="872" ht="15" customHeight="1" spans="1:2" x14ac:dyDescent="0.25">
      <c r="A872">
        <v>872</v>
      </c>
      <c r="B872" t="s">
        <v>1078</v>
      </c>
    </row>
    <row r="873" ht="15" customHeight="1" spans="1:2" x14ac:dyDescent="0.25">
      <c r="A873">
        <v>873</v>
      </c>
      <c r="B873" t="s">
        <v>1079</v>
      </c>
    </row>
    <row r="874" ht="15" customHeight="1" spans="1:2" x14ac:dyDescent="0.25">
      <c r="A874">
        <v>874</v>
      </c>
      <c r="B874" t="s">
        <v>1080</v>
      </c>
    </row>
    <row r="875" ht="15" customHeight="1" spans="1:2" x14ac:dyDescent="0.25">
      <c r="A875">
        <v>875</v>
      </c>
      <c r="B875" t="s">
        <v>1081</v>
      </c>
    </row>
    <row r="876" ht="15" customHeight="1" spans="1:2" x14ac:dyDescent="0.25">
      <c r="A876">
        <v>876</v>
      </c>
      <c r="B876" t="s">
        <v>1082</v>
      </c>
    </row>
    <row r="877" ht="15" customHeight="1" spans="1:2" x14ac:dyDescent="0.25">
      <c r="A877">
        <v>877</v>
      </c>
      <c r="B877" t="s">
        <v>1083</v>
      </c>
    </row>
    <row r="878" ht="15" customHeight="1" spans="1:2" x14ac:dyDescent="0.25">
      <c r="A878">
        <v>878</v>
      </c>
      <c r="B878" t="s">
        <v>1084</v>
      </c>
    </row>
    <row r="879" ht="15" customHeight="1" spans="1:2" x14ac:dyDescent="0.25">
      <c r="A879">
        <v>879</v>
      </c>
      <c r="B879" t="s">
        <v>1085</v>
      </c>
    </row>
    <row r="880" ht="15" customHeight="1" spans="1:2" x14ac:dyDescent="0.25">
      <c r="A880">
        <v>880</v>
      </c>
      <c r="B880" t="s">
        <v>1086</v>
      </c>
    </row>
    <row r="881" ht="15" customHeight="1" spans="1:2" x14ac:dyDescent="0.25">
      <c r="A881">
        <v>881</v>
      </c>
      <c r="B881" t="s">
        <v>1087</v>
      </c>
    </row>
    <row r="882" ht="15" customHeight="1" spans="1:2" x14ac:dyDescent="0.25">
      <c r="A882">
        <v>882</v>
      </c>
      <c r="B882" t="s">
        <v>1088</v>
      </c>
    </row>
    <row r="883" ht="15" customHeight="1" spans="1:2" x14ac:dyDescent="0.25">
      <c r="A883">
        <v>883</v>
      </c>
      <c r="B883" t="s">
        <v>1089</v>
      </c>
    </row>
    <row r="884" ht="15" customHeight="1" spans="1:2" x14ac:dyDescent="0.25">
      <c r="A884">
        <v>884</v>
      </c>
      <c r="B884" t="s">
        <v>1090</v>
      </c>
    </row>
    <row r="885" ht="15" customHeight="1" spans="1:2" x14ac:dyDescent="0.25">
      <c r="A885">
        <v>885</v>
      </c>
      <c r="B885" t="s">
        <v>1091</v>
      </c>
    </row>
    <row r="886" ht="15" customHeight="1" spans="1:2" x14ac:dyDescent="0.25">
      <c r="A886">
        <v>886</v>
      </c>
      <c r="B886" t="s">
        <v>1092</v>
      </c>
    </row>
    <row r="887" ht="15" customHeight="1" spans="1:2" x14ac:dyDescent="0.25">
      <c r="A887">
        <v>887</v>
      </c>
      <c r="B887" t="s">
        <v>1093</v>
      </c>
    </row>
    <row r="888" ht="15" customHeight="1" spans="1:2" x14ac:dyDescent="0.25">
      <c r="A888">
        <v>888</v>
      </c>
      <c r="B888" t="s">
        <v>1094</v>
      </c>
    </row>
    <row r="889" ht="15" customHeight="1" spans="1:2" x14ac:dyDescent="0.25">
      <c r="A889">
        <v>889</v>
      </c>
      <c r="B889" t="s">
        <v>1095</v>
      </c>
    </row>
    <row r="890" ht="15" customHeight="1" spans="1:2" x14ac:dyDescent="0.25">
      <c r="A890">
        <v>890</v>
      </c>
      <c r="B890" t="s">
        <v>1096</v>
      </c>
    </row>
    <row r="891" ht="15" customHeight="1" spans="1:2" x14ac:dyDescent="0.25">
      <c r="A891">
        <v>891</v>
      </c>
      <c r="B891" t="s">
        <v>1097</v>
      </c>
    </row>
    <row r="892" ht="15" customHeight="1" spans="1:2" x14ac:dyDescent="0.25">
      <c r="A892">
        <v>892</v>
      </c>
      <c r="B892" t="s">
        <v>1098</v>
      </c>
    </row>
    <row r="893" ht="15" customHeight="1" spans="1:2" x14ac:dyDescent="0.25">
      <c r="A893">
        <v>893</v>
      </c>
      <c r="B893" t="s">
        <v>1099</v>
      </c>
    </row>
    <row r="894" ht="15" customHeight="1" spans="1:2" x14ac:dyDescent="0.25">
      <c r="A894">
        <v>894</v>
      </c>
      <c r="B894" t="s">
        <v>1100</v>
      </c>
    </row>
    <row r="895" ht="15" customHeight="1" spans="1:2" x14ac:dyDescent="0.25">
      <c r="A895">
        <v>895</v>
      </c>
      <c r="B895" t="s">
        <v>1101</v>
      </c>
    </row>
    <row r="896" ht="15" customHeight="1" spans="1:2" x14ac:dyDescent="0.25">
      <c r="A896">
        <v>896</v>
      </c>
      <c r="B896" t="s">
        <v>1102</v>
      </c>
    </row>
    <row r="897" ht="15" customHeight="1" spans="1:2" x14ac:dyDescent="0.25">
      <c r="A897">
        <v>897</v>
      </c>
      <c r="B897" t="s">
        <v>1103</v>
      </c>
    </row>
    <row r="898" ht="15" customHeight="1" spans="1:2" x14ac:dyDescent="0.25">
      <c r="A898">
        <v>898</v>
      </c>
      <c r="B898" t="s">
        <v>1104</v>
      </c>
    </row>
    <row r="899" ht="15" customHeight="1" spans="1:2" x14ac:dyDescent="0.25">
      <c r="A899">
        <v>899</v>
      </c>
      <c r="B899" t="s">
        <v>1105</v>
      </c>
    </row>
    <row r="900" ht="15" customHeight="1" spans="1:2" x14ac:dyDescent="0.25">
      <c r="A900">
        <v>900</v>
      </c>
      <c r="B900" t="s">
        <v>1106</v>
      </c>
    </row>
    <row r="901" ht="15" customHeight="1" spans="1:2" x14ac:dyDescent="0.25">
      <c r="A901">
        <v>901</v>
      </c>
      <c r="B901" t="s">
        <v>1107</v>
      </c>
    </row>
    <row r="902" ht="15" customHeight="1" spans="1:2" x14ac:dyDescent="0.25">
      <c r="A902">
        <v>902</v>
      </c>
      <c r="B902" t="s">
        <v>1108</v>
      </c>
    </row>
    <row r="903" ht="15" customHeight="1" spans="1:2" x14ac:dyDescent="0.25">
      <c r="A903">
        <v>903</v>
      </c>
      <c r="B903" t="s">
        <v>1109</v>
      </c>
    </row>
    <row r="904" ht="15" customHeight="1" spans="1:2" x14ac:dyDescent="0.25">
      <c r="A904">
        <v>904</v>
      </c>
      <c r="B904" t="s">
        <v>1110</v>
      </c>
    </row>
    <row r="905" ht="15" customHeight="1" spans="1:2" x14ac:dyDescent="0.25">
      <c r="A905">
        <v>905</v>
      </c>
      <c r="B905" t="s">
        <v>1111</v>
      </c>
    </row>
    <row r="906" ht="15" customHeight="1" spans="1:2" x14ac:dyDescent="0.25">
      <c r="A906">
        <v>906</v>
      </c>
      <c r="B906" t="s">
        <v>1112</v>
      </c>
    </row>
    <row r="907" ht="15" customHeight="1" spans="1:2" x14ac:dyDescent="0.25">
      <c r="A907">
        <v>907</v>
      </c>
      <c r="B907" t="s">
        <v>1113</v>
      </c>
    </row>
    <row r="908" ht="15" customHeight="1" spans="1:2" x14ac:dyDescent="0.25">
      <c r="A908">
        <v>908</v>
      </c>
      <c r="B908" t="s">
        <v>1114</v>
      </c>
    </row>
    <row r="909" ht="15" customHeight="1" spans="1:2" x14ac:dyDescent="0.25">
      <c r="A909">
        <v>909</v>
      </c>
      <c r="B909" t="s">
        <v>1115</v>
      </c>
    </row>
    <row r="910" ht="15" customHeight="1" spans="1:2" x14ac:dyDescent="0.25">
      <c r="A910">
        <v>910</v>
      </c>
      <c r="B910" t="s">
        <v>1116</v>
      </c>
    </row>
    <row r="911" ht="15" customHeight="1" spans="1:2" x14ac:dyDescent="0.25">
      <c r="A911">
        <v>911</v>
      </c>
      <c r="B911" t="s">
        <v>1117</v>
      </c>
    </row>
    <row r="912" ht="15" customHeight="1" spans="1:2" x14ac:dyDescent="0.25">
      <c r="A912">
        <v>912</v>
      </c>
      <c r="B912" t="s">
        <v>1118</v>
      </c>
    </row>
    <row r="913" ht="15" customHeight="1" spans="1:2" x14ac:dyDescent="0.25">
      <c r="A913">
        <v>913</v>
      </c>
      <c r="B913" t="s">
        <v>1119</v>
      </c>
    </row>
    <row r="914" ht="15" customHeight="1" spans="1:2" x14ac:dyDescent="0.25">
      <c r="A914">
        <v>914</v>
      </c>
      <c r="B914" t="s">
        <v>1120</v>
      </c>
    </row>
    <row r="915" ht="15" customHeight="1" spans="1:2" x14ac:dyDescent="0.25">
      <c r="A915">
        <v>915</v>
      </c>
      <c r="B915" t="s">
        <v>1121</v>
      </c>
    </row>
    <row r="916" ht="15" customHeight="1" spans="1:2" x14ac:dyDescent="0.25">
      <c r="A916">
        <v>916</v>
      </c>
      <c r="B916" t="s">
        <v>1122</v>
      </c>
    </row>
    <row r="917" ht="15" customHeight="1" spans="1:2" x14ac:dyDescent="0.25">
      <c r="A917">
        <v>917</v>
      </c>
      <c r="B917" t="s">
        <v>1123</v>
      </c>
    </row>
    <row r="918" ht="15" customHeight="1" spans="1:2" x14ac:dyDescent="0.25">
      <c r="A918">
        <v>918</v>
      </c>
      <c r="B918" t="s">
        <v>1124</v>
      </c>
    </row>
    <row r="919" ht="15" customHeight="1" spans="1:2" x14ac:dyDescent="0.25">
      <c r="A919">
        <v>919</v>
      </c>
      <c r="B919" t="s">
        <v>1125</v>
      </c>
    </row>
    <row r="920" ht="15" customHeight="1" spans="1:2" x14ac:dyDescent="0.25">
      <c r="A920">
        <v>920</v>
      </c>
      <c r="B920" t="s">
        <v>1126</v>
      </c>
    </row>
    <row r="921" ht="15" customHeight="1" spans="1:2" x14ac:dyDescent="0.25">
      <c r="A921">
        <v>921</v>
      </c>
      <c r="B921" t="s">
        <v>1127</v>
      </c>
    </row>
    <row r="922" ht="15" customHeight="1" spans="1:2" x14ac:dyDescent="0.25">
      <c r="A922">
        <v>922</v>
      </c>
      <c r="B922" t="s">
        <v>1128</v>
      </c>
    </row>
    <row r="923" ht="15" customHeight="1" spans="1:2" x14ac:dyDescent="0.25">
      <c r="A923">
        <v>923</v>
      </c>
      <c r="B923" t="s">
        <v>1129</v>
      </c>
    </row>
    <row r="924" ht="15" customHeight="1" spans="1:2" x14ac:dyDescent="0.25">
      <c r="A924">
        <v>924</v>
      </c>
      <c r="B924" t="s">
        <v>1130</v>
      </c>
    </row>
    <row r="925" ht="15" customHeight="1" spans="1:2" x14ac:dyDescent="0.25">
      <c r="A925">
        <v>925</v>
      </c>
      <c r="B925" t="s">
        <v>1131</v>
      </c>
    </row>
    <row r="926" ht="15" customHeight="1" spans="1:2" x14ac:dyDescent="0.25">
      <c r="A926">
        <v>926</v>
      </c>
      <c r="B926" t="s">
        <v>1132</v>
      </c>
    </row>
    <row r="927" ht="15" customHeight="1" spans="1:2" x14ac:dyDescent="0.25">
      <c r="A927">
        <v>927</v>
      </c>
      <c r="B927" t="s">
        <v>1133</v>
      </c>
    </row>
    <row r="928" ht="15" customHeight="1" spans="1:2" x14ac:dyDescent="0.25">
      <c r="A928">
        <v>928</v>
      </c>
      <c r="B928" t="s">
        <v>1134</v>
      </c>
    </row>
    <row r="929" ht="15" customHeight="1" spans="1:2" x14ac:dyDescent="0.25">
      <c r="A929">
        <v>929</v>
      </c>
      <c r="B929" t="s">
        <v>1135</v>
      </c>
    </row>
    <row r="930" ht="15" customHeight="1" spans="1:2" x14ac:dyDescent="0.25">
      <c r="A930">
        <v>930</v>
      </c>
      <c r="B930" t="s">
        <v>1136</v>
      </c>
    </row>
    <row r="931" ht="15" customHeight="1" spans="1:2" x14ac:dyDescent="0.25">
      <c r="A931">
        <v>931</v>
      </c>
      <c r="B931" t="s">
        <v>1137</v>
      </c>
    </row>
    <row r="932" ht="15" customHeight="1" spans="1:2" x14ac:dyDescent="0.25">
      <c r="A932">
        <v>932</v>
      </c>
      <c r="B932" t="s">
        <v>1138</v>
      </c>
    </row>
    <row r="933" ht="15" customHeight="1" spans="1:2" x14ac:dyDescent="0.25">
      <c r="A933">
        <v>933</v>
      </c>
      <c r="B933" t="s">
        <v>1139</v>
      </c>
    </row>
    <row r="934" ht="15" customHeight="1" spans="1:2" x14ac:dyDescent="0.25">
      <c r="A934">
        <v>934</v>
      </c>
      <c r="B934" t="s">
        <v>1140</v>
      </c>
    </row>
    <row r="935" ht="15" customHeight="1" spans="1:2" x14ac:dyDescent="0.25">
      <c r="A935">
        <v>935</v>
      </c>
      <c r="B935" t="s">
        <v>1141</v>
      </c>
    </row>
    <row r="936" ht="15" customHeight="1" spans="1:2" x14ac:dyDescent="0.25">
      <c r="A936">
        <v>936</v>
      </c>
      <c r="B936" t="s">
        <v>1142</v>
      </c>
    </row>
    <row r="937" ht="15" customHeight="1" spans="1:2" x14ac:dyDescent="0.25">
      <c r="A937">
        <v>937</v>
      </c>
      <c r="B937" t="s">
        <v>1143</v>
      </c>
    </row>
    <row r="938" ht="15" customHeight="1" spans="1:2" x14ac:dyDescent="0.25">
      <c r="A938">
        <v>938</v>
      </c>
      <c r="B938" t="s">
        <v>1144</v>
      </c>
    </row>
    <row r="939" ht="15" customHeight="1" spans="1:2" x14ac:dyDescent="0.25">
      <c r="A939">
        <v>939</v>
      </c>
      <c r="B939" t="s">
        <v>1145</v>
      </c>
    </row>
    <row r="940" ht="15" customHeight="1" spans="1:2" x14ac:dyDescent="0.25">
      <c r="A940">
        <v>940</v>
      </c>
      <c r="B940" t="s">
        <v>1146</v>
      </c>
    </row>
    <row r="941" ht="15" customHeight="1" spans="1:2" x14ac:dyDescent="0.25">
      <c r="A941">
        <v>941</v>
      </c>
      <c r="B941" t="s">
        <v>1147</v>
      </c>
    </row>
    <row r="942" ht="15" customHeight="1" spans="1:2" x14ac:dyDescent="0.25">
      <c r="A942">
        <v>942</v>
      </c>
      <c r="B942" t="s">
        <v>1148</v>
      </c>
    </row>
    <row r="943" ht="15" customHeight="1" spans="1:2" x14ac:dyDescent="0.25">
      <c r="A943">
        <v>943</v>
      </c>
      <c r="B943" t="s">
        <v>1149</v>
      </c>
    </row>
    <row r="944" ht="15" customHeight="1" spans="1:2" x14ac:dyDescent="0.25">
      <c r="A944">
        <v>944</v>
      </c>
      <c r="B944" t="s">
        <v>1150</v>
      </c>
    </row>
    <row r="945" ht="15" customHeight="1" spans="1:2" x14ac:dyDescent="0.25">
      <c r="A945">
        <v>945</v>
      </c>
      <c r="B945" t="s">
        <v>1151</v>
      </c>
    </row>
    <row r="946" ht="15" customHeight="1" spans="1:2" x14ac:dyDescent="0.25">
      <c r="A946">
        <v>946</v>
      </c>
      <c r="B946" t="s">
        <v>1152</v>
      </c>
    </row>
    <row r="947" ht="15" customHeight="1" spans="1:2" x14ac:dyDescent="0.25">
      <c r="A947">
        <v>947</v>
      </c>
      <c r="B947" t="s">
        <v>1153</v>
      </c>
    </row>
    <row r="948" ht="15" customHeight="1" spans="1:2" x14ac:dyDescent="0.25">
      <c r="A948">
        <v>948</v>
      </c>
      <c r="B948" t="s">
        <v>1154</v>
      </c>
    </row>
    <row r="949" ht="15" customHeight="1" spans="1:2" x14ac:dyDescent="0.25">
      <c r="A949">
        <v>949</v>
      </c>
      <c r="B949" t="s">
        <v>1155</v>
      </c>
    </row>
    <row r="950" ht="15" customHeight="1" spans="1:2" x14ac:dyDescent="0.25">
      <c r="A950">
        <v>950</v>
      </c>
      <c r="B950" t="s">
        <v>1156</v>
      </c>
    </row>
    <row r="951" ht="15" customHeight="1" spans="1:2" x14ac:dyDescent="0.25">
      <c r="A951">
        <v>951</v>
      </c>
      <c r="B951" t="s">
        <v>1157</v>
      </c>
    </row>
    <row r="952" ht="15" customHeight="1" spans="1:2" x14ac:dyDescent="0.25">
      <c r="A952">
        <v>952</v>
      </c>
      <c r="B952" t="s">
        <v>1158</v>
      </c>
    </row>
    <row r="953" ht="15" customHeight="1" spans="1:2" x14ac:dyDescent="0.25">
      <c r="A953">
        <v>953</v>
      </c>
      <c r="B953" t="s">
        <v>1159</v>
      </c>
    </row>
    <row r="954" ht="15" customHeight="1" spans="1:2" x14ac:dyDescent="0.25">
      <c r="A954">
        <v>954</v>
      </c>
      <c r="B954" t="s">
        <v>1160</v>
      </c>
    </row>
    <row r="955" ht="15" customHeight="1" spans="1:2" x14ac:dyDescent="0.25">
      <c r="A955">
        <v>955</v>
      </c>
      <c r="B955" t="s">
        <v>1161</v>
      </c>
    </row>
    <row r="956" ht="15" customHeight="1" spans="1:2" x14ac:dyDescent="0.25">
      <c r="A956">
        <v>956</v>
      </c>
      <c r="B956" t="s">
        <v>1162</v>
      </c>
    </row>
    <row r="957" ht="15" customHeight="1" spans="1:2" x14ac:dyDescent="0.25">
      <c r="A957">
        <v>957</v>
      </c>
      <c r="B957" t="s">
        <v>1163</v>
      </c>
    </row>
    <row r="958" ht="15" customHeight="1" spans="1:2" x14ac:dyDescent="0.25">
      <c r="A958">
        <v>958</v>
      </c>
      <c r="B958" t="s">
        <v>1164</v>
      </c>
    </row>
    <row r="959" ht="15" customHeight="1" spans="1:2" x14ac:dyDescent="0.25">
      <c r="A959">
        <v>959</v>
      </c>
      <c r="B959" t="s">
        <v>1165</v>
      </c>
    </row>
    <row r="960" ht="15" customHeight="1" spans="1:2" x14ac:dyDescent="0.25">
      <c r="A960">
        <v>960</v>
      </c>
      <c r="B960" t="s">
        <v>1166</v>
      </c>
    </row>
    <row r="961" ht="15" customHeight="1" spans="1:2" x14ac:dyDescent="0.25">
      <c r="A961">
        <v>961</v>
      </c>
      <c r="B961" t="s">
        <v>1167</v>
      </c>
    </row>
    <row r="962" ht="15" customHeight="1" spans="1:2" x14ac:dyDescent="0.25">
      <c r="A962">
        <v>962</v>
      </c>
      <c r="B962" t="s">
        <v>1168</v>
      </c>
    </row>
    <row r="963" ht="15" customHeight="1" spans="1:2" x14ac:dyDescent="0.25">
      <c r="A963">
        <v>963</v>
      </c>
      <c r="B963" t="s">
        <v>1169</v>
      </c>
    </row>
    <row r="964" ht="15" customHeight="1" spans="1:2" x14ac:dyDescent="0.25">
      <c r="A964">
        <v>964</v>
      </c>
      <c r="B964" t="s">
        <v>1170</v>
      </c>
    </row>
    <row r="965" ht="15" customHeight="1" spans="1:2" x14ac:dyDescent="0.25">
      <c r="A965">
        <v>965</v>
      </c>
      <c r="B965" t="s">
        <v>1171</v>
      </c>
    </row>
    <row r="966" ht="15" customHeight="1" spans="1:2" x14ac:dyDescent="0.25">
      <c r="A966">
        <v>966</v>
      </c>
      <c r="B966" t="s">
        <v>1172</v>
      </c>
    </row>
    <row r="967" ht="15" customHeight="1" spans="1:2" x14ac:dyDescent="0.25">
      <c r="A967">
        <v>967</v>
      </c>
      <c r="B967" t="s">
        <v>1173</v>
      </c>
    </row>
    <row r="968" ht="15" customHeight="1" spans="1:2" x14ac:dyDescent="0.25">
      <c r="A968">
        <v>968</v>
      </c>
      <c r="B968" t="s">
        <v>1174</v>
      </c>
    </row>
    <row r="969" ht="15" customHeight="1" spans="1:2" x14ac:dyDescent="0.25">
      <c r="A969">
        <v>969</v>
      </c>
      <c r="B969" t="s">
        <v>1175</v>
      </c>
    </row>
    <row r="970" ht="15" customHeight="1" spans="1:2" x14ac:dyDescent="0.25">
      <c r="A970">
        <v>970</v>
      </c>
      <c r="B970" t="s">
        <v>1176</v>
      </c>
    </row>
    <row r="971" ht="15" customHeight="1" spans="1:2" x14ac:dyDescent="0.25">
      <c r="A971">
        <v>971</v>
      </c>
      <c r="B971" t="s">
        <v>1177</v>
      </c>
    </row>
    <row r="972" ht="15" customHeight="1" spans="1:2" x14ac:dyDescent="0.25">
      <c r="A972">
        <v>972</v>
      </c>
      <c r="B972" t="s">
        <v>1178</v>
      </c>
    </row>
    <row r="973" ht="15" customHeight="1" spans="1:2" x14ac:dyDescent="0.25">
      <c r="A973">
        <v>973</v>
      </c>
      <c r="B973" t="s">
        <v>1179</v>
      </c>
    </row>
    <row r="974" ht="15" customHeight="1" spans="1:2" x14ac:dyDescent="0.25">
      <c r="A974">
        <v>974</v>
      </c>
      <c r="B974" t="s">
        <v>1180</v>
      </c>
    </row>
    <row r="975" ht="15" customHeight="1" spans="1:2" x14ac:dyDescent="0.25">
      <c r="A975">
        <v>975</v>
      </c>
      <c r="B975" t="s">
        <v>1181</v>
      </c>
    </row>
    <row r="976" ht="15" customHeight="1" spans="1:2" x14ac:dyDescent="0.25">
      <c r="A976">
        <v>976</v>
      </c>
      <c r="B976" t="s">
        <v>1182</v>
      </c>
    </row>
    <row r="977" ht="15" customHeight="1" spans="1:2" x14ac:dyDescent="0.25">
      <c r="A977">
        <v>977</v>
      </c>
      <c r="B977" t="s">
        <v>1183</v>
      </c>
    </row>
    <row r="978" ht="15" customHeight="1" spans="1:2" x14ac:dyDescent="0.25">
      <c r="A978">
        <v>978</v>
      </c>
      <c r="B978" t="s">
        <v>1184</v>
      </c>
    </row>
    <row r="979" ht="15" customHeight="1" spans="1:2" x14ac:dyDescent="0.25">
      <c r="A979">
        <v>979</v>
      </c>
      <c r="B979" t="s">
        <v>1185</v>
      </c>
    </row>
    <row r="980" ht="15" customHeight="1" spans="1:2" x14ac:dyDescent="0.25">
      <c r="A980">
        <v>980</v>
      </c>
      <c r="B980" t="s">
        <v>1186</v>
      </c>
    </row>
    <row r="981" ht="15" customHeight="1" spans="1:2" x14ac:dyDescent="0.25">
      <c r="A981">
        <v>981</v>
      </c>
      <c r="B981" t="s">
        <v>1187</v>
      </c>
    </row>
    <row r="982" ht="15" customHeight="1" spans="1:2" x14ac:dyDescent="0.25">
      <c r="A982">
        <v>982</v>
      </c>
      <c r="B982" t="s">
        <v>1188</v>
      </c>
    </row>
    <row r="983" ht="15" customHeight="1" spans="1:2" x14ac:dyDescent="0.25">
      <c r="A983">
        <v>983</v>
      </c>
      <c r="B983" t="s">
        <v>1189</v>
      </c>
    </row>
    <row r="984" ht="15" customHeight="1" spans="1:2" x14ac:dyDescent="0.25">
      <c r="A984">
        <v>984</v>
      </c>
      <c r="B984" t="s">
        <v>1190</v>
      </c>
    </row>
    <row r="985" ht="15" customHeight="1" spans="1:2" x14ac:dyDescent="0.25">
      <c r="A985">
        <v>985</v>
      </c>
      <c r="B985" t="s">
        <v>1191</v>
      </c>
    </row>
    <row r="986" ht="15" customHeight="1" spans="1:2" x14ac:dyDescent="0.25">
      <c r="A986">
        <v>986</v>
      </c>
      <c r="B986" t="s">
        <v>1192</v>
      </c>
    </row>
    <row r="987" ht="15" customHeight="1" spans="1:2" x14ac:dyDescent="0.25">
      <c r="A987">
        <v>987</v>
      </c>
      <c r="B987" t="s">
        <v>1193</v>
      </c>
    </row>
    <row r="988" ht="15" customHeight="1" spans="1:2" x14ac:dyDescent="0.25">
      <c r="A988">
        <v>988</v>
      </c>
      <c r="B988" t="s">
        <v>1194</v>
      </c>
    </row>
    <row r="989" ht="15" customHeight="1" spans="1:2" x14ac:dyDescent="0.25">
      <c r="A989">
        <v>989</v>
      </c>
      <c r="B989" t="s">
        <v>1195</v>
      </c>
    </row>
    <row r="990" ht="15" customHeight="1" spans="1:2" x14ac:dyDescent="0.25">
      <c r="A990">
        <v>990</v>
      </c>
      <c r="B990" t="s">
        <v>1196</v>
      </c>
    </row>
    <row r="991" ht="15" customHeight="1" spans="1:2" x14ac:dyDescent="0.25">
      <c r="A991">
        <v>991</v>
      </c>
      <c r="B991" t="s">
        <v>1197</v>
      </c>
    </row>
    <row r="992" ht="15" customHeight="1" spans="1:2" x14ac:dyDescent="0.25">
      <c r="A992">
        <v>992</v>
      </c>
      <c r="B992" t="s">
        <v>1198</v>
      </c>
    </row>
    <row r="993" ht="15" customHeight="1" spans="1:2" x14ac:dyDescent="0.25">
      <c r="A993">
        <v>993</v>
      </c>
      <c r="B993" t="s">
        <v>1199</v>
      </c>
    </row>
    <row r="994" ht="15" customHeight="1" spans="1:2" x14ac:dyDescent="0.25">
      <c r="A994">
        <v>994</v>
      </c>
      <c r="B994" t="s">
        <v>1200</v>
      </c>
    </row>
    <row r="995" ht="15" customHeight="1" spans="1:2" x14ac:dyDescent="0.25">
      <c r="A995">
        <v>995</v>
      </c>
      <c r="B995" t="s">
        <v>1201</v>
      </c>
    </row>
    <row r="996" ht="15" customHeight="1" spans="1:2" x14ac:dyDescent="0.25">
      <c r="A996">
        <v>996</v>
      </c>
      <c r="B996" t="s">
        <v>1202</v>
      </c>
    </row>
    <row r="997" ht="15" customHeight="1" spans="1:2" x14ac:dyDescent="0.25">
      <c r="A997">
        <v>997</v>
      </c>
      <c r="B997" t="s">
        <v>1203</v>
      </c>
    </row>
    <row r="998" ht="15" customHeight="1" spans="1:2" x14ac:dyDescent="0.25">
      <c r="A998">
        <v>998</v>
      </c>
      <c r="B998" t="s">
        <v>1204</v>
      </c>
    </row>
    <row r="999" ht="15" customHeight="1" spans="1:2" x14ac:dyDescent="0.25">
      <c r="A999">
        <v>999</v>
      </c>
      <c r="B999" t="s">
        <v>1205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Rekap</vt:lpstr>
      <vt:lpstr>ADW</vt:lpstr>
      <vt:lpstr>Form ADW</vt:lpstr>
      <vt:lpstr>EVANTAMA</vt:lpstr>
      <vt:lpstr>Form EVANTAMA</vt:lpstr>
      <vt:lpstr>CCSI</vt:lpstr>
      <vt:lpstr>Form CCSI</vt:lpstr>
      <vt:lpstr>_lists</vt:lpstr>
      <vt:lpstr>_terbilang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Indotek (sanitized sample)</dc:creator>
  <dc:title/>
  <dc:subject/>
  <dc:description/>
  <dc:language>en-US</dc:language>
  <cp:lastModifiedBy>Indotek (sanitized sample)</cp:lastModifiedBy>
  <dcterms:created xsi:type="dcterms:W3CDTF">2026-10-08T05:34:10Z</dcterms:created>
  <dcterms:modified xsi:type="dcterms:W3CDTF">2026-10-13T14:39:18Z</dcterms:modified>
</cp:coreProperties>
</file>